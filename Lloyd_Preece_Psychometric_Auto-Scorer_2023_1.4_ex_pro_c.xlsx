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ml.chartshapes+xml"/>
  <Override PartName="/xl/charts/chart2.xml" ContentType="application/vnd.openxmlformats-officedocument.drawingml.chart+xml"/>
  <Override PartName="/xl/drawings/drawing5.xml" ContentType="application/vnd.openxmlformats-officedocument.drawingml.chartshapes+xml"/>
  <Override PartName="/xl/charts/chart3.xml" ContentType="application/vnd.openxmlformats-officedocument.drawingml.chart+xml"/>
  <Override PartName="/xl/drawings/drawing6.xml" ContentType="application/vnd.openxmlformats-officedocument.drawingml.chartshapes+xml"/>
  <Override PartName="/xl/charts/chart4.xml" ContentType="application/vnd.openxmlformats-officedocument.drawingml.chart+xml"/>
  <Override PartName="/xl/drawings/drawing7.xml" ContentType="application/vnd.openxmlformats-officedocument.drawingml.chartshapes+xml"/>
  <Override PartName="/xl/charts/chart5.xml" ContentType="application/vnd.openxmlformats-officedocument.drawingml.chart+xml"/>
  <Override PartName="/xl/drawings/drawing8.xml" ContentType="application/vnd.openxmlformats-officedocument.drawingml.chartshapes+xml"/>
  <Override PartName="/xl/charts/chart6.xml" ContentType="application/vnd.openxmlformats-officedocument.drawingml.chart+xml"/>
  <Override PartName="/xl/drawings/drawing9.xml" ContentType="application/vnd.openxmlformats-officedocument.drawingml.chartshapes+xml"/>
  <Override PartName="/xl/charts/chart7.xml" ContentType="application/vnd.openxmlformats-officedocument.drawingml.chart+xml"/>
  <Override PartName="/xl/drawings/drawing10.xml" ContentType="application/vnd.openxmlformats-officedocument.drawingml.chartshapes+xml"/>
  <Override PartName="/xl/charts/chart8.xml" ContentType="application/vnd.openxmlformats-officedocument.drawingml.chart+xml"/>
  <Override PartName="/xl/drawings/drawing11.xml" ContentType="application/vnd.openxmlformats-officedocument.drawingml.chartshapes+xml"/>
  <Override PartName="/xl/charts/chart9.xml" ContentType="application/vnd.openxmlformats-officedocument.drawingml.chart+xml"/>
  <Override PartName="/xl/drawings/drawing12.xml" ContentType="application/vnd.openxmlformats-officedocument.drawingml.chartshapes+xml"/>
  <Override PartName="/xl/charts/chart10.xml" ContentType="application/vnd.openxmlformats-officedocument.drawingml.chart+xml"/>
  <Override PartName="/xl/drawings/drawing13.xml" ContentType="application/vnd.openxmlformats-officedocument.drawingml.chartshapes+xml"/>
  <Override PartName="/xl/charts/chart11.xml" ContentType="application/vnd.openxmlformats-officedocument.drawingml.chart+xml"/>
  <Override PartName="/xl/drawings/drawing14.xml" ContentType="application/vnd.openxmlformats-officedocument.drawingml.chartshapes+xml"/>
  <Override PartName="/xl/charts/chart12.xml" ContentType="application/vnd.openxmlformats-officedocument.drawingml.chart+xml"/>
  <Override PartName="/xl/drawings/drawing15.xml" ContentType="application/vnd.openxmlformats-officedocument.drawingml.chartshapes+xml"/>
  <Override PartName="/xl/charts/chart13.xml" ContentType="application/vnd.openxmlformats-officedocument.drawingml.chart+xml"/>
  <Override PartName="/xl/drawings/drawing16.xml" ContentType="application/vnd.openxmlformats-officedocument.drawingml.chartshapes+xml"/>
  <Override PartName="/xl/charts/chart14.xml" ContentType="application/vnd.openxmlformats-officedocument.drawingml.chart+xml"/>
  <Override PartName="/xl/drawings/drawing17.xml" ContentType="application/vnd.openxmlformats-officedocument.drawingml.chartshapes+xml"/>
  <Override PartName="/xl/charts/chart15.xml" ContentType="application/vnd.openxmlformats-officedocument.drawingml.chart+xml"/>
  <Override PartName="/xl/drawings/drawing18.xml" ContentType="application/vnd.openxmlformats-officedocument.drawingml.chartshapes+xml"/>
  <Override PartName="/xl/charts/chart16.xml" ContentType="application/vnd.openxmlformats-officedocument.drawingml.chart+xml"/>
  <Override PartName="/xl/drawings/drawing19.xml" ContentType="application/vnd.openxmlformats-officedocument.drawingml.chartshapes+xml"/>
  <Override PartName="/xl/charts/chart17.xml" ContentType="application/vnd.openxmlformats-officedocument.drawingml.chart+xml"/>
  <Override PartName="/xl/drawings/drawing20.xml" ContentType="application/vnd.openxmlformats-officedocument.drawingml.chartshapes+xml"/>
  <Override PartName="/xl/charts/chart18.xml" ContentType="application/vnd.openxmlformats-officedocument.drawingml.chart+xml"/>
  <Override PartName="/xl/drawings/drawing21.xml" ContentType="application/vnd.openxmlformats-officedocument.drawingml.chartshapes+xml"/>
  <Override PartName="/xl/charts/chart19.xml" ContentType="application/vnd.openxmlformats-officedocument.drawingml.chart+xml"/>
  <Override PartName="/xl/drawings/drawing22.xml" ContentType="application/vnd.openxmlformats-officedocument.drawingml.chartshapes+xml"/>
  <Override PartName="/xl/charts/chart20.xml" ContentType="application/vnd.openxmlformats-officedocument.drawingml.chart+xml"/>
  <Override PartName="/xl/drawings/drawing23.xml" ContentType="application/vnd.openxmlformats-officedocument.drawingml.chartshapes+xml"/>
  <Override PartName="/xl/charts/chart21.xml" ContentType="application/vnd.openxmlformats-officedocument.drawingml.chart+xml"/>
  <Override PartName="/xl/drawings/drawing24.xml" ContentType="application/vnd.openxmlformats-officedocument.drawingml.chartshapes+xml"/>
  <Override PartName="/xl/charts/chart22.xml" ContentType="application/vnd.openxmlformats-officedocument.drawingml.chart+xml"/>
  <Override PartName="/xl/drawings/drawing25.xml" ContentType="application/vnd.openxmlformats-officedocument.drawingml.chartshapes+xml"/>
  <Override PartName="/xl/charts/chart23.xml" ContentType="application/vnd.openxmlformats-officedocument.drawingml.chart+xml"/>
  <Override PartName="/xl/drawings/drawing26.xml" ContentType="application/vnd.openxmlformats-officedocument.drawingml.chartshapes+xml"/>
  <Override PartName="/xl/charts/chart24.xml" ContentType="application/vnd.openxmlformats-officedocument.drawingml.chart+xml"/>
  <Override PartName="/xl/drawings/drawing27.xml" ContentType="application/vnd.openxmlformats-officedocument.drawingml.chartshapes+xml"/>
  <Override PartName="/xl/charts/chart25.xml" ContentType="application/vnd.openxmlformats-officedocument.drawingml.chart+xml"/>
  <Override PartName="/xl/drawings/drawing28.xml" ContentType="application/vnd.openxmlformats-officedocument.drawingml.chartshapes+xml"/>
  <Override PartName="/xl/charts/chart26.xml" ContentType="application/vnd.openxmlformats-officedocument.drawingml.chart+xml"/>
  <Override PartName="/xl/drawings/drawing29.xml" ContentType="application/vnd.openxmlformats-officedocument.drawingml.chartshapes+xml"/>
  <Override PartName="/xl/charts/chart27.xml" ContentType="application/vnd.openxmlformats-officedocument.drawingml.chart+xml"/>
  <Override PartName="/xl/drawings/drawing30.xml" ContentType="application/vnd.openxmlformats-officedocument.drawingml.chartshapes+xml"/>
  <Override PartName="/xl/charts/chart28.xml" ContentType="application/vnd.openxmlformats-officedocument.drawingml.chart+xml"/>
  <Override PartName="/xl/drawings/drawing31.xml" ContentType="application/vnd.openxmlformats-officedocument.drawingml.chartshapes+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https://d.docs.live.net/7314269bc213d6b7/Black Swan/Lloyd Preece Psycholometric Auto-Scorer/"/>
    </mc:Choice>
  </mc:AlternateContent>
  <xr:revisionPtr revIDLastSave="0" documentId="8_{5C3E6366-01BD-4444-80F8-88E6C7C4F13C}" xr6:coauthVersionLast="47" xr6:coauthVersionMax="47" xr10:uidLastSave="{00000000-0000-0000-0000-000000000000}"/>
  <bookViews>
    <workbookView xWindow="28680" yWindow="-120" windowWidth="29040" windowHeight="15840" xr2:uid="{FBD5406A-D70F-C040-87DD-AB1C1BA4CF2F}"/>
  </bookViews>
  <sheets>
    <sheet name="Instructions" sheetId="1" r:id="rId1"/>
    <sheet name="Client details" sheetId="12" r:id="rId2"/>
    <sheet name="Profile Summary and Figures" sheetId="7" r:id="rId3"/>
    <sheet name="DASS-21" sheetId="15" r:id="rId4"/>
    <sheet name="DASS" sheetId="27" r:id="rId5"/>
    <sheet name="K10" sheetId="14" r:id="rId6"/>
    <sheet name="GAD-7" sheetId="22" r:id="rId7"/>
    <sheet name="PHQ-9" sheetId="23" r:id="rId8"/>
    <sheet name="BDI-II" sheetId="41" r:id="rId9"/>
    <sheet name="BAI" sheetId="42" r:id="rId10"/>
    <sheet name="DSM-5" sheetId="16" r:id="rId11"/>
    <sheet name="PCL-5" sheetId="37" r:id="rId12"/>
    <sheet name="EDE-Q" sheetId="36" r:id="rId13"/>
    <sheet name="EDE-QS" sheetId="39" r:id="rId14"/>
    <sheet name="AUDIT" sheetId="25" r:id="rId15"/>
    <sheet name="PAQ" sheetId="2" r:id="rId16"/>
    <sheet name="PAQ-S" sheetId="35" r:id="rId17"/>
    <sheet name="PERCI" sheetId="3" r:id="rId18"/>
    <sheet name="PERS" sheetId="5" r:id="rId19"/>
    <sheet name="PERS-S" sheetId="4" r:id="rId20"/>
    <sheet name="EBQ" sheetId="6" r:id="rId21"/>
    <sheet name="ERQ" sheetId="13" r:id="rId22"/>
    <sheet name="PMERQ" sheetId="40" r:id="rId23"/>
    <sheet name="PES" sheetId="26" r:id="rId24"/>
    <sheet name="ASRS" sheetId="30" r:id="rId25"/>
    <sheet name="AQ" sheetId="29" r:id="rId26"/>
    <sheet name="AQ-10" sheetId="28" r:id="rId27"/>
    <sheet name="CATI" sheetId="31" r:id="rId28"/>
    <sheet name="PID-5" sheetId="19" r:id="rId29"/>
    <sheet name="PID-5-BF" sheetId="24" r:id="rId30"/>
    <sheet name="YSQ-R" sheetId="43" r:id="rId31"/>
    <sheet name="Measure norms" sheetId="10" r:id="rId32"/>
  </sheets>
  <definedNames>
    <definedName name="AQ_10_norms">'Measure norms'!$A$213</definedName>
    <definedName name="AQ_10_profile">'Profile Summary and Figures'!$A$410</definedName>
    <definedName name="AQ_norms">'Measure norms'!$A$208</definedName>
    <definedName name="AQ_profile">'Profile Summary and Figures'!$A$394</definedName>
    <definedName name="ASRS_norms">'Measure norms'!$A$203</definedName>
    <definedName name="ASRS_profile">'Profile Summary and Figures'!$A$377</definedName>
    <definedName name="AUDIT_norms">'Measure norms'!$A$67</definedName>
    <definedName name="AUDIT_profile">'Profile Summary and Figures'!$A$206</definedName>
    <definedName name="BAI_norms">'Measure norms'!$A$42</definedName>
    <definedName name="BAI_profile">'Profile Summary and Figures'!$A$122</definedName>
    <definedName name="BDI_II_norms">'Measure norms'!$A$37</definedName>
    <definedName name="BDI_II_profile">'Profile Summary and Figures'!$A$106</definedName>
    <definedName name="CATI_norms">'Measure norms'!$A$218</definedName>
    <definedName name="CATI_profile">'Profile Summary and Figures'!$A$427</definedName>
    <definedName name="DASS_21_norms">'Measure norms'!$A$12</definedName>
    <definedName name="DASS_21_profile">'Profile Summary and Figures'!$A$26</definedName>
    <definedName name="DASS_norms">'Measure norms'!$A$17</definedName>
    <definedName name="DASS_profile">'Profile Summary and Figures'!$A$42</definedName>
    <definedName name="DSM_5_norms">'Measure norms'!$A$47</definedName>
    <definedName name="DSM_5_profile">'Profile Summary and Figures'!$A$142</definedName>
    <definedName name="EBQ_norms">'Measure norms'!$A$158</definedName>
    <definedName name="EBQ_profile">'Profile Summary and Figures'!$A$309</definedName>
    <definedName name="EDE_Q_norms">'Measure norms'!$A$57</definedName>
    <definedName name="EDE_Q_profile">'Profile Summary and Figures'!$A$173</definedName>
    <definedName name="EDE_QS_norms">'Measure norms'!$A$62</definedName>
    <definedName name="EDE_QS_profile">'Profile Summary and Figures'!$A$189</definedName>
    <definedName name="ERQ_norms">'Measure norms'!$A$166</definedName>
    <definedName name="ERQ_profile">'Profile Summary and Figures'!$A$327</definedName>
    <definedName name="GAD_7_norms">'Measure norms'!$A$27</definedName>
    <definedName name="GAD_7_profile">'Profile Summary and Figures'!$A$75</definedName>
    <definedName name="K10_norms">'Measure norms'!$A$22</definedName>
    <definedName name="K10_profile">'Profile Summary and Figures'!$A$59</definedName>
    <definedName name="Norms_index">'Measure norms'!$L$1</definedName>
    <definedName name="PAQ_norms">'Measure norms'!$A$87</definedName>
    <definedName name="PAQ_profile">'Profile Summary and Figures'!$A$226</definedName>
    <definedName name="PAQ_S_norms">'Measure norms'!$A$94</definedName>
    <definedName name="PAQ_S_profile">'Profile Summary and Figures'!$A$241</definedName>
    <definedName name="PCL_5_norms">'Measure norms'!$A$52</definedName>
    <definedName name="PCL_5_profile">'Profile Summary and Figures'!$A$157</definedName>
    <definedName name="PERCI_norms">'Measure norms'!$A$114</definedName>
    <definedName name="PERCI_profile">'Profile Summary and Figures'!$A$263</definedName>
    <definedName name="PERS_norms">'Measure norms'!$A$129</definedName>
    <definedName name="PERS_profile">'Profile Summary and Figures'!$A$278</definedName>
    <definedName name="PERS_S_norms">'Measure norms'!$A$144</definedName>
    <definedName name="PERS_S_profile">'Profile Summary and Figures'!$A$294</definedName>
    <definedName name="PES_norms">'Measure norms'!$A$196</definedName>
    <definedName name="PES_profile">'Profile Summary and Figures'!$A$358</definedName>
    <definedName name="PHQ_9_norms">'Measure norms'!$A$32</definedName>
    <definedName name="PHQ_9_profile">'Profile Summary and Figures'!$A$91</definedName>
    <definedName name="PID_5_BF_norms">'Measure norms'!$A$269</definedName>
    <definedName name="PID_5_BF_profile">'Profile Summary and Figures'!$A$483</definedName>
    <definedName name="PID_5_norms">'Measure norms'!$A$257</definedName>
    <definedName name="PID_5_profile">'Profile Summary and Figures'!$A$467</definedName>
    <definedName name="PMERQ_norms">'Measure norms'!$A$182</definedName>
    <definedName name="PMERQ_profile">'Profile Summary and Figures'!$A$343</definedName>
    <definedName name="Profile_index">'Profile Summary and Figures'!$S$1</definedName>
    <definedName name="YSQ_R_norms">'Measure norms'!$A$275</definedName>
    <definedName name="YSQ_R_profile">'Profile Summary and Figures'!$A$509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2" l="1"/>
  <c r="G19" i="19" a="1"/>
  <c r="G19" i="19" s="1"/>
  <c r="I11" i="31"/>
  <c r="I12" i="31"/>
  <c r="I13" i="31"/>
  <c r="I14" i="31"/>
  <c r="I15" i="31"/>
  <c r="I16" i="31"/>
  <c r="G14" i="36" a="1"/>
  <c r="G14" i="36" s="1"/>
  <c r="G13" i="36" a="1"/>
  <c r="G13" i="36" s="1"/>
  <c r="G11" i="36" a="1"/>
  <c r="G11" i="36" s="1"/>
  <c r="H30" i="43" a="1"/>
  <c r="H30" i="43" s="1"/>
  <c r="G30" i="43" a="1"/>
  <c r="G30" i="43" s="1"/>
  <c r="H29" i="43" a="1"/>
  <c r="H29" i="43" s="1"/>
  <c r="G29" i="43" a="1"/>
  <c r="G29" i="43" s="1"/>
  <c r="H28" i="43" a="1"/>
  <c r="H28" i="43" s="1"/>
  <c r="G28" i="43" a="1"/>
  <c r="G28" i="43" s="1"/>
  <c r="H27" i="43" a="1"/>
  <c r="H27" i="43" s="1"/>
  <c r="G27" i="43" a="1"/>
  <c r="G27" i="43" s="1"/>
  <c r="H26" i="43" a="1"/>
  <c r="H26" i="43" s="1"/>
  <c r="G26" i="43" a="1"/>
  <c r="G26" i="43" s="1"/>
  <c r="H25" i="43" a="1"/>
  <c r="H25" i="43" s="1"/>
  <c r="G25" i="43" a="1"/>
  <c r="G25" i="43" s="1"/>
  <c r="H24" i="43" a="1"/>
  <c r="H24" i="43" s="1"/>
  <c r="G24" i="43" a="1"/>
  <c r="G24" i="43" s="1"/>
  <c r="H23" i="43" a="1"/>
  <c r="H23" i="43" s="1"/>
  <c r="G23" i="43" a="1"/>
  <c r="G23" i="43" s="1"/>
  <c r="H22" i="43" a="1"/>
  <c r="H22" i="43" s="1"/>
  <c r="G22" i="43" a="1"/>
  <c r="G22" i="43" s="1"/>
  <c r="H21" i="43" a="1"/>
  <c r="H21" i="43" s="1"/>
  <c r="G21" i="43" a="1"/>
  <c r="G21" i="43" s="1"/>
  <c r="H20" i="43" a="1"/>
  <c r="H20" i="43" s="1"/>
  <c r="G20" i="43" a="1"/>
  <c r="G20" i="43" s="1"/>
  <c r="H19" i="43" a="1"/>
  <c r="H19" i="43" s="1"/>
  <c r="G19" i="43" a="1"/>
  <c r="G19" i="43" s="1"/>
  <c r="H18" i="43" a="1"/>
  <c r="H18" i="43" s="1"/>
  <c r="G18" i="43" a="1"/>
  <c r="G18" i="43" s="1"/>
  <c r="H17" i="43" a="1"/>
  <c r="H17" i="43" s="1"/>
  <c r="G17" i="43" a="1"/>
  <c r="G17" i="43" s="1"/>
  <c r="H16" i="43" a="1"/>
  <c r="H16" i="43" s="1"/>
  <c r="G16" i="43" a="1"/>
  <c r="G16" i="43" s="1"/>
  <c r="H15" i="43" a="1"/>
  <c r="H15" i="43" s="1"/>
  <c r="G15" i="43" a="1"/>
  <c r="G15" i="43" s="1"/>
  <c r="H14" i="43" a="1"/>
  <c r="H14" i="43" s="1"/>
  <c r="G14" i="43" a="1"/>
  <c r="G14" i="43" s="1"/>
  <c r="H12" i="43" a="1"/>
  <c r="H12" i="43" s="1"/>
  <c r="H11" i="43" a="1"/>
  <c r="H11" i="43" s="1"/>
  <c r="H13" i="43" a="1"/>
  <c r="H13" i="43" s="1"/>
  <c r="G13" i="43" a="1"/>
  <c r="G13" i="43" s="1"/>
  <c r="G12" i="43" a="1"/>
  <c r="G12" i="43" s="1"/>
  <c r="G11" i="43" a="1"/>
  <c r="G11" i="43" s="1"/>
  <c r="G15" i="24" a="1"/>
  <c r="G15" i="24" s="1"/>
  <c r="G14" i="24" a="1"/>
  <c r="G14" i="24" s="1"/>
  <c r="G13" i="24" a="1"/>
  <c r="G13" i="24" s="1"/>
  <c r="G12" i="24" a="1"/>
  <c r="G12" i="24" s="1"/>
  <c r="G11" i="24" a="1"/>
  <c r="G11" i="24" s="1"/>
  <c r="G34" i="19" a="1"/>
  <c r="G34" i="19" s="1"/>
  <c r="G29" i="19" a="1"/>
  <c r="G29" i="19" s="1"/>
  <c r="G27" i="19" a="1"/>
  <c r="G27" i="19" s="1"/>
  <c r="G26" i="19" a="1"/>
  <c r="G26" i="19" s="1"/>
  <c r="G25" i="19" a="1"/>
  <c r="G25" i="19" s="1"/>
  <c r="G24" i="19" a="1"/>
  <c r="G24" i="19" s="1"/>
  <c r="G23" i="19" a="1"/>
  <c r="G23" i="19" s="1"/>
  <c r="G21" i="19" a="1"/>
  <c r="G21" i="19" s="1"/>
  <c r="G20" i="19" a="1"/>
  <c r="G20" i="19" s="1"/>
  <c r="G16" i="19" a="1"/>
  <c r="G16" i="19" s="1"/>
  <c r="G15" i="19" a="1"/>
  <c r="G15" i="19" s="1"/>
  <c r="G12" i="19" a="1"/>
  <c r="G12" i="19" s="1"/>
  <c r="D230" i="19" a="1"/>
  <c r="D230" i="19" s="1"/>
  <c r="D229" i="19" a="1"/>
  <c r="D229" i="19" s="1"/>
  <c r="D228" i="19" a="1"/>
  <c r="D228" i="19" s="1"/>
  <c r="D227" i="19" a="1"/>
  <c r="D227" i="19" s="1"/>
  <c r="D226" i="19" a="1"/>
  <c r="D226" i="19" s="1"/>
  <c r="D225" i="19" a="1"/>
  <c r="D225" i="19" s="1"/>
  <c r="D224" i="19" a="1"/>
  <c r="D224" i="19" s="1"/>
  <c r="D223" i="19" a="1"/>
  <c r="D223" i="19" s="1"/>
  <c r="D222" i="19" a="1"/>
  <c r="D222" i="19" s="1"/>
  <c r="D221" i="19" a="1"/>
  <c r="D221" i="19" s="1"/>
  <c r="D220" i="19" a="1"/>
  <c r="D220" i="19" s="1"/>
  <c r="D219" i="19" a="1"/>
  <c r="D219" i="19" s="1"/>
  <c r="D218" i="19" a="1"/>
  <c r="D218" i="19" s="1"/>
  <c r="D217" i="19" a="1"/>
  <c r="D217" i="19" s="1"/>
  <c r="D216" i="19" a="1"/>
  <c r="D216" i="19" s="1"/>
  <c r="D215" i="19" a="1"/>
  <c r="D215" i="19" s="1"/>
  <c r="D214" i="19" a="1"/>
  <c r="D214" i="19" s="1"/>
  <c r="D213" i="19" a="1"/>
  <c r="D213" i="19" s="1"/>
  <c r="D212" i="19" a="1"/>
  <c r="D212" i="19" s="1"/>
  <c r="D211" i="19" a="1"/>
  <c r="D211" i="19" s="1"/>
  <c r="D210" i="19" a="1"/>
  <c r="D210" i="19" s="1"/>
  <c r="D209" i="19" a="1"/>
  <c r="D209" i="19" s="1"/>
  <c r="D208" i="19" a="1"/>
  <c r="D208" i="19" s="1"/>
  <c r="D207" i="19" a="1"/>
  <c r="D207" i="19" s="1"/>
  <c r="D206" i="19" a="1"/>
  <c r="D206" i="19" s="1"/>
  <c r="D205" i="19" a="1"/>
  <c r="D205" i="19" s="1"/>
  <c r="D204" i="19" a="1"/>
  <c r="D204" i="19" s="1"/>
  <c r="D203" i="19" a="1"/>
  <c r="D203" i="19" s="1"/>
  <c r="D202" i="19" a="1"/>
  <c r="D202" i="19" s="1"/>
  <c r="D201" i="19" a="1"/>
  <c r="D201" i="19" s="1"/>
  <c r="D200" i="19" a="1"/>
  <c r="D200" i="19" s="1"/>
  <c r="D199" i="19" a="1"/>
  <c r="D199" i="19" s="1"/>
  <c r="D198" i="19" a="1"/>
  <c r="D198" i="19" s="1"/>
  <c r="D197" i="19" a="1"/>
  <c r="D197" i="19" s="1"/>
  <c r="D196" i="19" a="1"/>
  <c r="D196" i="19" s="1"/>
  <c r="D195" i="19" a="1"/>
  <c r="D195" i="19" s="1"/>
  <c r="D194" i="19" a="1"/>
  <c r="D194" i="19" s="1"/>
  <c r="D193" i="19" a="1"/>
  <c r="D193" i="19" s="1"/>
  <c r="D192" i="19" a="1"/>
  <c r="D192" i="19" s="1"/>
  <c r="D191" i="19" a="1"/>
  <c r="D191" i="19" s="1"/>
  <c r="D190" i="19" a="1"/>
  <c r="D190" i="19" s="1"/>
  <c r="D189" i="19" a="1"/>
  <c r="D189" i="19" s="1"/>
  <c r="D188" i="19" a="1"/>
  <c r="D188" i="19" s="1"/>
  <c r="D187" i="19" a="1"/>
  <c r="D187" i="19" s="1"/>
  <c r="D186" i="19" a="1"/>
  <c r="D186" i="19" s="1"/>
  <c r="D185" i="19" a="1"/>
  <c r="D185" i="19" s="1"/>
  <c r="D184" i="19" a="1"/>
  <c r="D184" i="19" s="1"/>
  <c r="D183" i="19" a="1"/>
  <c r="D183" i="19" s="1"/>
  <c r="D182" i="19" a="1"/>
  <c r="D182" i="19" s="1"/>
  <c r="D181" i="19" a="1"/>
  <c r="D181" i="19" s="1"/>
  <c r="D180" i="19" a="1"/>
  <c r="D180" i="19" s="1"/>
  <c r="D179" i="19" a="1"/>
  <c r="D179" i="19" s="1"/>
  <c r="D178" i="19" a="1"/>
  <c r="D178" i="19" s="1"/>
  <c r="D177" i="19" a="1"/>
  <c r="D177" i="19" s="1"/>
  <c r="D176" i="19" a="1"/>
  <c r="D176" i="19" s="1"/>
  <c r="D175" i="19" a="1"/>
  <c r="D175" i="19" s="1"/>
  <c r="D174" i="19" a="1"/>
  <c r="D174" i="19" s="1"/>
  <c r="D173" i="19" a="1"/>
  <c r="D173" i="19" s="1"/>
  <c r="D172" i="19" a="1"/>
  <c r="D172" i="19" s="1"/>
  <c r="D171" i="19" a="1"/>
  <c r="D171" i="19" s="1"/>
  <c r="D170" i="19" a="1"/>
  <c r="D170" i="19" s="1"/>
  <c r="D169" i="19" a="1"/>
  <c r="D169" i="19" s="1"/>
  <c r="D168" i="19" a="1"/>
  <c r="D168" i="19" s="1"/>
  <c r="D167" i="19" a="1"/>
  <c r="D167" i="19" s="1"/>
  <c r="D166" i="19" a="1"/>
  <c r="D166" i="19" s="1"/>
  <c r="D165" i="19" a="1"/>
  <c r="D165" i="19" s="1"/>
  <c r="D164" i="19" a="1"/>
  <c r="D164" i="19" s="1"/>
  <c r="D163" i="19" a="1"/>
  <c r="D163" i="19" s="1"/>
  <c r="D162" i="19" a="1"/>
  <c r="D162" i="19" s="1"/>
  <c r="D161" i="19" a="1"/>
  <c r="D161" i="19" s="1"/>
  <c r="D160" i="19" a="1"/>
  <c r="D160" i="19" s="1"/>
  <c r="D159" i="19" a="1"/>
  <c r="D159" i="19" s="1"/>
  <c r="D158" i="19" a="1"/>
  <c r="D158" i="19" s="1"/>
  <c r="D157" i="19" a="1"/>
  <c r="D157" i="19" s="1"/>
  <c r="D156" i="19" a="1"/>
  <c r="D156" i="19" s="1"/>
  <c r="D155" i="19" a="1"/>
  <c r="D155" i="19" s="1"/>
  <c r="D154" i="19" a="1"/>
  <c r="D154" i="19" s="1"/>
  <c r="D153" i="19" a="1"/>
  <c r="D153" i="19" s="1"/>
  <c r="D152" i="19" a="1"/>
  <c r="D152" i="19" s="1"/>
  <c r="D151" i="19" a="1"/>
  <c r="D151" i="19" s="1"/>
  <c r="D150" i="19" a="1"/>
  <c r="D150" i="19" s="1"/>
  <c r="D149" i="19" a="1"/>
  <c r="D149" i="19" s="1"/>
  <c r="D148" i="19" a="1"/>
  <c r="D148" i="19" s="1"/>
  <c r="D147" i="19" a="1"/>
  <c r="D147" i="19" s="1"/>
  <c r="D146" i="19" a="1"/>
  <c r="D146" i="19" s="1"/>
  <c r="D145" i="19" a="1"/>
  <c r="D145" i="19" s="1"/>
  <c r="D144" i="19" a="1"/>
  <c r="D144" i="19" s="1"/>
  <c r="D143" i="19" a="1"/>
  <c r="D143" i="19" s="1"/>
  <c r="D142" i="19" a="1"/>
  <c r="D142" i="19" s="1"/>
  <c r="D141" i="19" a="1"/>
  <c r="D141" i="19" s="1"/>
  <c r="D140" i="19" a="1"/>
  <c r="D140" i="19" s="1"/>
  <c r="D139" i="19" a="1"/>
  <c r="D139" i="19" s="1"/>
  <c r="D138" i="19" a="1"/>
  <c r="D138" i="19" s="1"/>
  <c r="D137" i="19" a="1"/>
  <c r="D137" i="19" s="1"/>
  <c r="D136" i="19" a="1"/>
  <c r="D136" i="19" s="1"/>
  <c r="D135" i="19" a="1"/>
  <c r="D135" i="19" s="1"/>
  <c r="D134" i="19" a="1"/>
  <c r="D134" i="19" s="1"/>
  <c r="D133" i="19" a="1"/>
  <c r="D133" i="19" s="1"/>
  <c r="D132" i="19" a="1"/>
  <c r="D132" i="19" s="1"/>
  <c r="D131" i="19" a="1"/>
  <c r="D131" i="19" s="1"/>
  <c r="D130" i="19" a="1"/>
  <c r="D130" i="19" s="1"/>
  <c r="D129" i="19" a="1"/>
  <c r="D129" i="19" s="1"/>
  <c r="D128" i="19" a="1"/>
  <c r="D128" i="19" s="1"/>
  <c r="D127" i="19" a="1"/>
  <c r="D127" i="19" s="1"/>
  <c r="D126" i="19" a="1"/>
  <c r="D126" i="19" s="1"/>
  <c r="D125" i="19" a="1"/>
  <c r="D125" i="19" s="1"/>
  <c r="D124" i="19" a="1"/>
  <c r="D124" i="19" s="1"/>
  <c r="D123" i="19" a="1"/>
  <c r="D123" i="19" s="1"/>
  <c r="D122" i="19" a="1"/>
  <c r="D122" i="19" s="1"/>
  <c r="D121" i="19" a="1"/>
  <c r="D121" i="19" s="1"/>
  <c r="D120" i="19" a="1"/>
  <c r="D120" i="19" s="1"/>
  <c r="D119" i="19" a="1"/>
  <c r="D119" i="19" s="1"/>
  <c r="D118" i="19" a="1"/>
  <c r="D118" i="19" s="1"/>
  <c r="D117" i="19" a="1"/>
  <c r="D117" i="19" s="1"/>
  <c r="D116" i="19" a="1"/>
  <c r="D116" i="19" s="1"/>
  <c r="D115" i="19" a="1"/>
  <c r="D115" i="19" s="1"/>
  <c r="D114" i="19" a="1"/>
  <c r="D114" i="19" s="1"/>
  <c r="D113" i="19" a="1"/>
  <c r="D113" i="19" s="1"/>
  <c r="D112" i="19" a="1"/>
  <c r="D112" i="19" s="1"/>
  <c r="D111" i="19" a="1"/>
  <c r="D111" i="19" s="1"/>
  <c r="D110" i="19" a="1"/>
  <c r="D110" i="19" s="1"/>
  <c r="D109" i="19" a="1"/>
  <c r="D109" i="19" s="1"/>
  <c r="D108" i="19" a="1"/>
  <c r="D108" i="19" s="1"/>
  <c r="D107" i="19" a="1"/>
  <c r="D107" i="19" s="1"/>
  <c r="D106" i="19" a="1"/>
  <c r="D106" i="19" s="1"/>
  <c r="D105" i="19" a="1"/>
  <c r="D105" i="19" s="1"/>
  <c r="D104" i="19" a="1"/>
  <c r="D104" i="19" s="1"/>
  <c r="D103" i="19" a="1"/>
  <c r="D103" i="19" s="1"/>
  <c r="D102" i="19" a="1"/>
  <c r="D102" i="19" s="1"/>
  <c r="D101" i="19" a="1"/>
  <c r="D101" i="19" s="1"/>
  <c r="D100" i="19" a="1"/>
  <c r="D100" i="19" s="1"/>
  <c r="D99" i="19" a="1"/>
  <c r="D99" i="19" s="1"/>
  <c r="D98" i="19" a="1"/>
  <c r="D98" i="19" s="1"/>
  <c r="D97" i="19" a="1"/>
  <c r="D97" i="19" s="1"/>
  <c r="D96" i="19" a="1"/>
  <c r="D96" i="19" s="1"/>
  <c r="D95" i="19" a="1"/>
  <c r="D95" i="19" s="1"/>
  <c r="D94" i="19" a="1"/>
  <c r="D94" i="19" s="1"/>
  <c r="D93" i="19" a="1"/>
  <c r="D93" i="19" s="1"/>
  <c r="D92" i="19" a="1"/>
  <c r="D92" i="19" s="1"/>
  <c r="D91" i="19" a="1"/>
  <c r="D91" i="19" s="1"/>
  <c r="D90" i="19" a="1"/>
  <c r="D90" i="19" s="1"/>
  <c r="D89" i="19" a="1"/>
  <c r="D89" i="19" s="1"/>
  <c r="D88" i="19" a="1"/>
  <c r="D88" i="19" s="1"/>
  <c r="D87" i="19" a="1"/>
  <c r="D87" i="19" s="1"/>
  <c r="D86" i="19" a="1"/>
  <c r="D86" i="19" s="1"/>
  <c r="D85" i="19" a="1"/>
  <c r="D85" i="19" s="1"/>
  <c r="D84" i="19" a="1"/>
  <c r="D84" i="19" s="1"/>
  <c r="D83" i="19" a="1"/>
  <c r="D83" i="19" s="1"/>
  <c r="D82" i="19" a="1"/>
  <c r="D82" i="19" s="1"/>
  <c r="D81" i="19" a="1"/>
  <c r="D81" i="19" s="1"/>
  <c r="D80" i="19" a="1"/>
  <c r="D80" i="19" s="1"/>
  <c r="D79" i="19" a="1"/>
  <c r="D79" i="19" s="1"/>
  <c r="D78" i="19" a="1"/>
  <c r="D78" i="19" s="1"/>
  <c r="D77" i="19" a="1"/>
  <c r="D77" i="19" s="1"/>
  <c r="D76" i="19" a="1"/>
  <c r="D76" i="19" s="1"/>
  <c r="D75" i="19" a="1"/>
  <c r="D75" i="19" s="1"/>
  <c r="D74" i="19" a="1"/>
  <c r="D74" i="19" s="1"/>
  <c r="D73" i="19" a="1"/>
  <c r="D73" i="19" s="1"/>
  <c r="D72" i="19" a="1"/>
  <c r="D72" i="19" s="1"/>
  <c r="D71" i="19" a="1"/>
  <c r="D71" i="19" s="1"/>
  <c r="D70" i="19" a="1"/>
  <c r="D70" i="19" s="1"/>
  <c r="D69" i="19" a="1"/>
  <c r="D69" i="19" s="1"/>
  <c r="D68" i="19" a="1"/>
  <c r="D68" i="19" s="1"/>
  <c r="D67" i="19" a="1"/>
  <c r="D67" i="19" s="1"/>
  <c r="D66" i="19" a="1"/>
  <c r="D66" i="19" s="1"/>
  <c r="D65" i="19" a="1"/>
  <c r="D65" i="19" s="1"/>
  <c r="D64" i="19" a="1"/>
  <c r="D64" i="19" s="1"/>
  <c r="D63" i="19" a="1"/>
  <c r="D63" i="19" s="1"/>
  <c r="D62" i="19" a="1"/>
  <c r="D62" i="19" s="1"/>
  <c r="D61" i="19" a="1"/>
  <c r="D61" i="19" s="1"/>
  <c r="D60" i="19" a="1"/>
  <c r="D60" i="19" s="1"/>
  <c r="D59" i="19" a="1"/>
  <c r="D59" i="19" s="1"/>
  <c r="D58" i="19" a="1"/>
  <c r="D58" i="19" s="1"/>
  <c r="D57" i="19" a="1"/>
  <c r="D57" i="19" s="1"/>
  <c r="D56" i="19" a="1"/>
  <c r="D56" i="19" s="1"/>
  <c r="D55" i="19" a="1"/>
  <c r="D55" i="19" s="1"/>
  <c r="D54" i="19" a="1"/>
  <c r="D54" i="19" s="1"/>
  <c r="D53" i="19" a="1"/>
  <c r="D53" i="19" s="1"/>
  <c r="D52" i="19" a="1"/>
  <c r="D52" i="19" s="1"/>
  <c r="D51" i="19" a="1"/>
  <c r="D51" i="19" s="1"/>
  <c r="D50" i="19" a="1"/>
  <c r="D50" i="19" s="1"/>
  <c r="D49" i="19" a="1"/>
  <c r="D49" i="19" s="1"/>
  <c r="D48" i="19" a="1"/>
  <c r="D48" i="19" s="1"/>
  <c r="D47" i="19" a="1"/>
  <c r="D47" i="19" s="1"/>
  <c r="D46" i="19" a="1"/>
  <c r="D46" i="19" s="1"/>
  <c r="D45" i="19" a="1"/>
  <c r="D45" i="19" s="1"/>
  <c r="D44" i="19" a="1"/>
  <c r="D44" i="19" s="1"/>
  <c r="D43" i="19" a="1"/>
  <c r="D43" i="19" s="1"/>
  <c r="D42" i="19" a="1"/>
  <c r="D42" i="19" s="1"/>
  <c r="D41" i="19" a="1"/>
  <c r="D41" i="19" s="1"/>
  <c r="D40" i="19" a="1"/>
  <c r="D40" i="19" s="1"/>
  <c r="D39" i="19" a="1"/>
  <c r="D39" i="19" s="1"/>
  <c r="D38" i="19" a="1"/>
  <c r="D38" i="19" s="1"/>
  <c r="D37" i="19" a="1"/>
  <c r="D37" i="19" s="1"/>
  <c r="D36" i="19" a="1"/>
  <c r="D36" i="19" s="1"/>
  <c r="D35" i="19" a="1"/>
  <c r="D35" i="19" s="1"/>
  <c r="D34" i="19" a="1"/>
  <c r="D34" i="19" s="1"/>
  <c r="D33" i="19" a="1"/>
  <c r="D33" i="19" s="1"/>
  <c r="D32" i="19" a="1"/>
  <c r="D32" i="19" s="1"/>
  <c r="D31" i="19" a="1"/>
  <c r="D31" i="19" s="1"/>
  <c r="D30" i="19" a="1"/>
  <c r="D30" i="19" s="1"/>
  <c r="D29" i="19" a="1"/>
  <c r="D29" i="19" s="1"/>
  <c r="D28" i="19" a="1"/>
  <c r="D28" i="19" s="1"/>
  <c r="D27" i="19" a="1"/>
  <c r="D27" i="19" s="1"/>
  <c r="D26" i="19" a="1"/>
  <c r="D26" i="19" s="1"/>
  <c r="D25" i="19" a="1"/>
  <c r="D25" i="19" s="1"/>
  <c r="D24" i="19" a="1"/>
  <c r="D24" i="19" s="1"/>
  <c r="G13" i="19" s="1" a="1"/>
  <c r="G13" i="19" s="1"/>
  <c r="D23" i="19" a="1"/>
  <c r="D23" i="19" s="1"/>
  <c r="D22" i="19" a="1"/>
  <c r="D22" i="19" s="1"/>
  <c r="G31" i="19" s="1" a="1"/>
  <c r="G31" i="19" s="1"/>
  <c r="D21" i="19" a="1"/>
  <c r="D21" i="19" s="1"/>
  <c r="D20" i="19" a="1"/>
  <c r="D20" i="19" s="1"/>
  <c r="G35" i="19" s="1" a="1"/>
  <c r="G35" i="19" s="1"/>
  <c r="D19" i="19" a="1"/>
  <c r="D19" i="19" s="1"/>
  <c r="D18" i="19" a="1"/>
  <c r="D18" i="19" s="1"/>
  <c r="G28" i="19" s="1" a="1"/>
  <c r="G28" i="19" s="1"/>
  <c r="D17" i="19" a="1"/>
  <c r="D17" i="19" s="1"/>
  <c r="D16" i="19" a="1"/>
  <c r="D16" i="19" s="1"/>
  <c r="G17" i="19" s="1" a="1"/>
  <c r="G17" i="19" s="1"/>
  <c r="D15" i="19" a="1"/>
  <c r="D15" i="19" s="1"/>
  <c r="G18" i="19" s="1" a="1"/>
  <c r="G18" i="19" s="1"/>
  <c r="D14" i="19" a="1"/>
  <c r="D14" i="19" s="1"/>
  <c r="G22" i="19" s="1" a="1"/>
  <c r="G22" i="19" s="1"/>
  <c r="D13" i="19" a="1"/>
  <c r="D13" i="19" s="1"/>
  <c r="G30" i="19" s="1" a="1"/>
  <c r="G30" i="19" s="1"/>
  <c r="D12" i="19" a="1"/>
  <c r="D12" i="19" s="1"/>
  <c r="G33" i="19" s="1" a="1"/>
  <c r="G33" i="19" s="1"/>
  <c r="D11" i="19" a="1"/>
  <c r="D11" i="19" s="1"/>
  <c r="G11" i="19" s="1" a="1"/>
  <c r="G11" i="19" s="1"/>
  <c r="D12" i="28" a="1"/>
  <c r="D12" i="28" s="1"/>
  <c r="D13" i="28" a="1"/>
  <c r="D13" i="28" s="1"/>
  <c r="D14" i="28" a="1"/>
  <c r="D14" i="28" s="1"/>
  <c r="D15" i="28" a="1"/>
  <c r="D15" i="28" s="1"/>
  <c r="D16" i="28" a="1"/>
  <c r="D16" i="28" s="1"/>
  <c r="D17" i="28" a="1"/>
  <c r="D17" i="28" s="1"/>
  <c r="D18" i="28" a="1"/>
  <c r="D18" i="28" s="1"/>
  <c r="D19" i="28" a="1"/>
  <c r="D19" i="28" s="1"/>
  <c r="D20" i="28" a="1"/>
  <c r="D20" i="28" s="1"/>
  <c r="D12" i="31" a="1"/>
  <c r="D12" i="31" s="1"/>
  <c r="D13" i="31" a="1"/>
  <c r="D13" i="31" s="1"/>
  <c r="D14" i="31" a="1"/>
  <c r="D14" i="31" s="1"/>
  <c r="D15" i="31" a="1"/>
  <c r="D15" i="31" s="1"/>
  <c r="D16" i="31" a="1"/>
  <c r="D16" i="31" s="1"/>
  <c r="D17" i="31" a="1"/>
  <c r="D17" i="31" s="1"/>
  <c r="D18" i="31" a="1"/>
  <c r="D18" i="31" s="1"/>
  <c r="D19" i="31" a="1"/>
  <c r="D19" i="31" s="1"/>
  <c r="D20" i="31" a="1"/>
  <c r="D20" i="31" s="1"/>
  <c r="D21" i="31" a="1"/>
  <c r="D21" i="31" s="1"/>
  <c r="D22" i="31" a="1"/>
  <c r="D22" i="31" s="1"/>
  <c r="D23" i="31" a="1"/>
  <c r="D23" i="31" s="1"/>
  <c r="D24" i="31" a="1"/>
  <c r="D24" i="31" s="1"/>
  <c r="D25" i="31" a="1"/>
  <c r="D25" i="31" s="1"/>
  <c r="D26" i="31" a="1"/>
  <c r="D26" i="31" s="1"/>
  <c r="D27" i="31" a="1"/>
  <c r="D27" i="31" s="1"/>
  <c r="D28" i="31" a="1"/>
  <c r="D28" i="31" s="1"/>
  <c r="D29" i="31" a="1"/>
  <c r="D29" i="31" s="1"/>
  <c r="D30" i="31" a="1"/>
  <c r="D30" i="31" s="1"/>
  <c r="D31" i="31" a="1"/>
  <c r="D31" i="31" s="1"/>
  <c r="D32" i="31" a="1"/>
  <c r="D32" i="31" s="1"/>
  <c r="D33" i="31" a="1"/>
  <c r="D33" i="31" s="1"/>
  <c r="D34" i="31" a="1"/>
  <c r="D34" i="31" s="1"/>
  <c r="D35" i="31" a="1"/>
  <c r="D35" i="31" s="1"/>
  <c r="D36" i="31" a="1"/>
  <c r="D36" i="31" s="1"/>
  <c r="D37" i="31" a="1"/>
  <c r="D37" i="31" s="1"/>
  <c r="D38" i="31" a="1"/>
  <c r="D38" i="31" s="1"/>
  <c r="D39" i="31" a="1"/>
  <c r="D39" i="31" s="1"/>
  <c r="D40" i="31" a="1"/>
  <c r="D40" i="31" s="1"/>
  <c r="D41" i="31" a="1"/>
  <c r="D41" i="31" s="1"/>
  <c r="D42" i="31" a="1"/>
  <c r="D42" i="31" s="1"/>
  <c r="D43" i="31" a="1"/>
  <c r="D43" i="31" s="1"/>
  <c r="D44" i="31" a="1"/>
  <c r="D44" i="31" s="1"/>
  <c r="D45" i="31" a="1"/>
  <c r="D45" i="31" s="1"/>
  <c r="D46" i="31" a="1"/>
  <c r="D46" i="31" s="1"/>
  <c r="D47" i="31" a="1"/>
  <c r="D47" i="31" s="1"/>
  <c r="D48" i="31" a="1"/>
  <c r="D48" i="31" s="1"/>
  <c r="D49" i="31" a="1"/>
  <c r="D49" i="31" s="1"/>
  <c r="D50" i="31" a="1"/>
  <c r="D50" i="31" s="1"/>
  <c r="D51" i="31" a="1"/>
  <c r="D51" i="31" s="1"/>
  <c r="D52" i="31" a="1"/>
  <c r="D52" i="31" s="1"/>
  <c r="D11" i="31" a="1"/>
  <c r="D11" i="31" s="1"/>
  <c r="D11" i="28" a="1"/>
  <c r="D11" i="28" s="1"/>
  <c r="D11" i="29" a="1"/>
  <c r="D11" i="29" s="1"/>
  <c r="D37" i="29" a="1"/>
  <c r="D37" i="29" s="1"/>
  <c r="H13" i="30"/>
  <c r="D12" i="29" a="1"/>
  <c r="D12" i="29" s="1"/>
  <c r="D13" i="29" a="1"/>
  <c r="D13" i="29" s="1"/>
  <c r="D14" i="29" a="1"/>
  <c r="D14" i="29" s="1"/>
  <c r="D15" i="29" a="1"/>
  <c r="D15" i="29" s="1"/>
  <c r="D16" i="29" a="1"/>
  <c r="D16" i="29" s="1"/>
  <c r="D17" i="29" a="1"/>
  <c r="D17" i="29" s="1"/>
  <c r="D18" i="29" a="1"/>
  <c r="D18" i="29" s="1"/>
  <c r="D19" i="29" a="1"/>
  <c r="D19" i="29" s="1"/>
  <c r="D20" i="29" a="1"/>
  <c r="D20" i="29" s="1"/>
  <c r="D21" i="29" a="1"/>
  <c r="D21" i="29" s="1"/>
  <c r="D22" i="29" a="1"/>
  <c r="D22" i="29" s="1"/>
  <c r="D23" i="29" a="1"/>
  <c r="D23" i="29" s="1"/>
  <c r="D24" i="29" a="1"/>
  <c r="D24" i="29" s="1"/>
  <c r="D25" i="29" a="1"/>
  <c r="D25" i="29" s="1"/>
  <c r="D26" i="29" a="1"/>
  <c r="D26" i="29" s="1"/>
  <c r="D27" i="29" a="1"/>
  <c r="D27" i="29" s="1"/>
  <c r="D28" i="29" a="1"/>
  <c r="D28" i="29" s="1"/>
  <c r="D29" i="29" a="1"/>
  <c r="D29" i="29" s="1"/>
  <c r="D30" i="29" a="1"/>
  <c r="D30" i="29" s="1"/>
  <c r="D31" i="29" a="1"/>
  <c r="D31" i="29" s="1"/>
  <c r="D32" i="29" a="1"/>
  <c r="D32" i="29" s="1"/>
  <c r="D33" i="29" a="1"/>
  <c r="D33" i="29" s="1"/>
  <c r="D34" i="29" a="1"/>
  <c r="D34" i="29" s="1"/>
  <c r="D35" i="29" a="1"/>
  <c r="D35" i="29" s="1"/>
  <c r="D36" i="29" a="1"/>
  <c r="D36" i="29" s="1"/>
  <c r="D38" i="29" a="1"/>
  <c r="D38" i="29" s="1"/>
  <c r="D39" i="29" a="1"/>
  <c r="D39" i="29" s="1"/>
  <c r="D40" i="29" a="1"/>
  <c r="D40" i="29" s="1"/>
  <c r="D41" i="29" a="1"/>
  <c r="D41" i="29" s="1"/>
  <c r="D42" i="29" a="1"/>
  <c r="D42" i="29" s="1"/>
  <c r="D43" i="29" a="1"/>
  <c r="D43" i="29" s="1"/>
  <c r="D44" i="29" a="1"/>
  <c r="D44" i="29" s="1"/>
  <c r="D45" i="29" a="1"/>
  <c r="D45" i="29" s="1"/>
  <c r="D46" i="29" a="1"/>
  <c r="D46" i="29" s="1"/>
  <c r="D47" i="29" a="1"/>
  <c r="D47" i="29" s="1"/>
  <c r="D48" i="29" a="1"/>
  <c r="D48" i="29" s="1"/>
  <c r="D49" i="29" a="1"/>
  <c r="D49" i="29" s="1"/>
  <c r="D50" i="29" a="1"/>
  <c r="D50" i="29" s="1"/>
  <c r="D51" i="29" a="1"/>
  <c r="D51" i="29" s="1"/>
  <c r="D52" i="29" a="1"/>
  <c r="D52" i="29" s="1"/>
  <c r="D53" i="29" a="1"/>
  <c r="D53" i="29" s="1"/>
  <c r="D54" i="29" a="1"/>
  <c r="D54" i="29" s="1"/>
  <c r="D55" i="29" a="1"/>
  <c r="D55" i="29" s="1"/>
  <c r="D56" i="29" a="1"/>
  <c r="D56" i="29" s="1"/>
  <c r="D57" i="29" a="1"/>
  <c r="D57" i="29" s="1"/>
  <c r="D58" i="29" a="1"/>
  <c r="D58" i="29" s="1"/>
  <c r="D59" i="29" a="1"/>
  <c r="D59" i="29" s="1"/>
  <c r="D60" i="29" a="1"/>
  <c r="D60" i="29" s="1"/>
  <c r="D13" i="30" a="1"/>
  <c r="D13" i="30" s="1"/>
  <c r="D14" i="30" a="1"/>
  <c r="D14" i="30" s="1"/>
  <c r="D15" i="30" a="1"/>
  <c r="D15" i="30" s="1"/>
  <c r="D16" i="30" a="1"/>
  <c r="D16" i="30" s="1"/>
  <c r="D17" i="30" a="1"/>
  <c r="D17" i="30" s="1"/>
  <c r="D19" i="30" a="1"/>
  <c r="D19" i="30" s="1"/>
  <c r="D20" i="30" a="1"/>
  <c r="D20" i="30" s="1"/>
  <c r="D21" i="30" a="1"/>
  <c r="D21" i="30" s="1"/>
  <c r="D22" i="30" a="1"/>
  <c r="D22" i="30" s="1"/>
  <c r="D23" i="30" a="1"/>
  <c r="D23" i="30" s="1"/>
  <c r="D24" i="30" a="1"/>
  <c r="D24" i="30" s="1"/>
  <c r="D25" i="30" a="1"/>
  <c r="D25" i="30" s="1"/>
  <c r="D26" i="30" a="1"/>
  <c r="D26" i="30" s="1"/>
  <c r="D27" i="30" a="1"/>
  <c r="D27" i="30" s="1"/>
  <c r="D28" i="30" a="1"/>
  <c r="D28" i="30" s="1"/>
  <c r="D29" i="30" a="1"/>
  <c r="D29" i="30" s="1"/>
  <c r="D30" i="30" a="1"/>
  <c r="D30" i="30" s="1"/>
  <c r="D12" i="30" a="1"/>
  <c r="D12" i="30" s="1"/>
  <c r="G14" i="26" a="1"/>
  <c r="G14" i="26" s="1"/>
  <c r="G13" i="26" a="1"/>
  <c r="G13" i="26" s="1"/>
  <c r="G12" i="26" a="1"/>
  <c r="G12" i="26" s="1"/>
  <c r="G11" i="26" a="1"/>
  <c r="G11" i="26" s="1"/>
  <c r="G14" i="40" a="1"/>
  <c r="G14" i="40" s="1"/>
  <c r="G20" i="40" a="1"/>
  <c r="G20" i="40" s="1"/>
  <c r="G19" i="40" a="1"/>
  <c r="G19" i="40" s="1"/>
  <c r="G18" i="40" a="1"/>
  <c r="G18" i="40" s="1"/>
  <c r="G17" i="40" a="1"/>
  <c r="G17" i="40" s="1"/>
  <c r="G16" i="40" a="1"/>
  <c r="G16" i="40" s="1"/>
  <c r="G15" i="40" a="1"/>
  <c r="G15" i="40" s="1"/>
  <c r="G13" i="40" a="1"/>
  <c r="G13" i="40" s="1"/>
  <c r="G12" i="40" a="1"/>
  <c r="G12" i="40" s="1"/>
  <c r="G11" i="40" a="1"/>
  <c r="G11" i="40" s="1"/>
  <c r="G12" i="13" a="1"/>
  <c r="G12" i="13" s="1"/>
  <c r="G11" i="13" a="1"/>
  <c r="G11" i="13" s="1"/>
  <c r="G14" i="6" a="1"/>
  <c r="G14" i="6" s="1"/>
  <c r="G13" i="6" a="1"/>
  <c r="G13" i="6" s="1"/>
  <c r="G12" i="6" a="1"/>
  <c r="G12" i="6" s="1"/>
  <c r="G11" i="6" a="1"/>
  <c r="G11" i="6" s="1"/>
  <c r="G16" i="4" a="1"/>
  <c r="G16" i="4" s="1"/>
  <c r="G15" i="4" a="1"/>
  <c r="G15" i="4" s="1"/>
  <c r="G14" i="4" a="1"/>
  <c r="G14" i="4" s="1"/>
  <c r="G13" i="4" a="1"/>
  <c r="G13" i="4" s="1"/>
  <c r="G12" i="4" a="1"/>
  <c r="G12" i="4" s="1"/>
  <c r="G11" i="4" a="1"/>
  <c r="G11" i="4" s="1"/>
  <c r="G16" i="5" a="1"/>
  <c r="G16" i="5" s="1"/>
  <c r="G15" i="5" a="1"/>
  <c r="G15" i="5" s="1"/>
  <c r="G14" i="5" a="1"/>
  <c r="G14" i="5" s="1"/>
  <c r="G13" i="5" a="1"/>
  <c r="G13" i="5" s="1"/>
  <c r="G12" i="5" a="1"/>
  <c r="G12" i="5" s="1"/>
  <c r="G11" i="5" a="1"/>
  <c r="G11" i="5" s="1"/>
  <c r="G18" i="3" a="1"/>
  <c r="G18" i="3" s="1"/>
  <c r="G17" i="3" a="1"/>
  <c r="G17" i="3" s="1"/>
  <c r="G16" i="3" a="1"/>
  <c r="G16" i="3" s="1"/>
  <c r="G15" i="3" a="1"/>
  <c r="G15" i="3" s="1"/>
  <c r="G14" i="3" a="1"/>
  <c r="G14" i="3" s="1"/>
  <c r="G13" i="3" a="1"/>
  <c r="G13" i="3" s="1"/>
  <c r="G12" i="3" a="1"/>
  <c r="G12" i="3" s="1"/>
  <c r="G11" i="3" a="1"/>
  <c r="G11" i="3" s="1"/>
  <c r="G11" i="35" a="1"/>
  <c r="G11" i="35" s="1"/>
  <c r="G15" i="2" a="1"/>
  <c r="G15" i="2" s="1"/>
  <c r="G14" i="2" a="1"/>
  <c r="G14" i="2" s="1"/>
  <c r="G13" i="2" a="1"/>
  <c r="G13" i="2" s="1"/>
  <c r="G12" i="2" a="1"/>
  <c r="G12" i="2" s="1"/>
  <c r="G11" i="2" a="1"/>
  <c r="G11" i="2" s="1"/>
  <c r="G11" i="25" a="1"/>
  <c r="G11" i="25" s="1"/>
  <c r="I11" i="25" s="1" a="1"/>
  <c r="I11" i="25" s="1"/>
  <c r="G11" i="39" a="1"/>
  <c r="G11" i="39" s="1"/>
  <c r="I11" i="39" s="1" a="1"/>
  <c r="I11" i="39" s="1"/>
  <c r="G12" i="36" a="1"/>
  <c r="G12" i="36" s="1"/>
  <c r="G11" i="37" a="1"/>
  <c r="G11" i="37" s="1"/>
  <c r="I11" i="37" s="1" a="1"/>
  <c r="I11" i="37" s="1"/>
  <c r="G11" i="16" a="1"/>
  <c r="G11" i="16" s="1"/>
  <c r="I11" i="16" s="1" a="1"/>
  <c r="I11" i="16" s="1"/>
  <c r="G23" i="16" a="1"/>
  <c r="G23" i="16" s="1"/>
  <c r="G22" i="16" a="1"/>
  <c r="G22" i="16" s="1"/>
  <c r="G21" i="16" a="1"/>
  <c r="G21" i="16" s="1"/>
  <c r="G20" i="16" a="1"/>
  <c r="G20" i="16" s="1"/>
  <c r="G19" i="16" a="1"/>
  <c r="G19" i="16" s="1"/>
  <c r="G18" i="16" a="1"/>
  <c r="G18" i="16" s="1"/>
  <c r="G17" i="16" a="1"/>
  <c r="G17" i="16" s="1"/>
  <c r="G16" i="16" a="1"/>
  <c r="G16" i="16" s="1"/>
  <c r="G15" i="16" a="1"/>
  <c r="G15" i="16" s="1"/>
  <c r="G14" i="16" a="1"/>
  <c r="G14" i="16" s="1"/>
  <c r="G13" i="16" a="1"/>
  <c r="G13" i="16" s="1"/>
  <c r="G12" i="16" a="1"/>
  <c r="G12" i="16" s="1"/>
  <c r="G11" i="42" a="1"/>
  <c r="G11" i="42" s="1"/>
  <c r="G11" i="41" a="1"/>
  <c r="G11" i="41" s="1"/>
  <c r="G11" i="23" a="1"/>
  <c r="G11" i="23" s="1"/>
  <c r="G11" i="22" a="1"/>
  <c r="G11" i="22" s="1"/>
  <c r="G11" i="14" a="1"/>
  <c r="G11" i="14" s="1"/>
  <c r="I11" i="14" s="1" a="1"/>
  <c r="I11" i="14" s="1"/>
  <c r="G13" i="27" a="1"/>
  <c r="G13" i="27" s="1"/>
  <c r="I13" i="27" s="1" a="1"/>
  <c r="I13" i="27" s="1"/>
  <c r="G12" i="27" a="1"/>
  <c r="G12" i="27" s="1"/>
  <c r="G11" i="27" a="1"/>
  <c r="G11" i="27" s="1"/>
  <c r="G13" i="15" a="1"/>
  <c r="G13" i="15" s="1"/>
  <c r="G12" i="15" a="1"/>
  <c r="G12" i="15" s="1"/>
  <c r="G11" i="15" a="1"/>
  <c r="G11" i="15" s="1"/>
  <c r="C47" i="7"/>
  <c r="G22" i="2" l="1" a="1"/>
  <c r="G22" i="2" s="1"/>
  <c r="G11" i="28" a="1"/>
  <c r="G11" i="28" s="1"/>
  <c r="I11" i="28" s="1" a="1"/>
  <c r="I11" i="28" s="1"/>
  <c r="G11" i="31" a="1"/>
  <c r="G11" i="31" s="1"/>
  <c r="G16" i="31" a="1"/>
  <c r="G16" i="31" s="1"/>
  <c r="G12" i="31" a="1"/>
  <c r="G12" i="31" s="1"/>
  <c r="G15" i="31" a="1"/>
  <c r="G15" i="31" s="1"/>
  <c r="G13" i="31" a="1"/>
  <c r="G13" i="31" s="1"/>
  <c r="G14" i="31" a="1"/>
  <c r="G14" i="31" s="1"/>
  <c r="G18" i="26" a="1"/>
  <c r="G18" i="26" s="1"/>
  <c r="G14" i="29" a="1"/>
  <c r="G14" i="29" s="1"/>
  <c r="G15" i="29" a="1"/>
  <c r="G15" i="29" s="1"/>
  <c r="G13" i="29" a="1"/>
  <c r="G13" i="29" s="1"/>
  <c r="G12" i="29" a="1"/>
  <c r="G12" i="29" s="1"/>
  <c r="G16" i="26" a="1"/>
  <c r="G16" i="26" s="1"/>
  <c r="G17" i="26" a="1"/>
  <c r="G17" i="26" s="1"/>
  <c r="G23" i="3" a="1"/>
  <c r="G23" i="3" s="1"/>
  <c r="G24" i="3" a="1"/>
  <c r="G24" i="3" s="1"/>
  <c r="G19" i="5" a="1"/>
  <c r="G19" i="5" s="1"/>
  <c r="G21" i="2" a="1"/>
  <c r="G21" i="2" s="1"/>
  <c r="G18" i="2" a="1"/>
  <c r="G18" i="2" s="1"/>
  <c r="G32" i="19" a="1"/>
  <c r="G32" i="19" s="1"/>
  <c r="G14" i="19" a="1"/>
  <c r="G14" i="19" s="1"/>
  <c r="G37" i="19" s="1" a="1"/>
  <c r="G37" i="19" s="1"/>
  <c r="G11" i="29" a="1"/>
  <c r="G11" i="29" s="1"/>
  <c r="G12" i="30" a="1"/>
  <c r="G12" i="30" s="1"/>
  <c r="G11" i="30" a="1"/>
  <c r="G11" i="30" s="1"/>
  <c r="I11" i="30" s="1" a="1"/>
  <c r="I11" i="30" s="1"/>
  <c r="G18" i="6" a="1"/>
  <c r="G18" i="6" s="1"/>
  <c r="G17" i="6" a="1"/>
  <c r="G17" i="6" s="1"/>
  <c r="G16" i="6" a="1"/>
  <c r="G16" i="6" s="1"/>
  <c r="G19" i="4" a="1"/>
  <c r="G19" i="4" s="1"/>
  <c r="G18" i="4" a="1"/>
  <c r="G18" i="4" s="1"/>
  <c r="G18" i="5" a="1"/>
  <c r="G18" i="5" s="1"/>
  <c r="G21" i="3" a="1"/>
  <c r="G21" i="3" s="1"/>
  <c r="G20" i="3" a="1"/>
  <c r="G20" i="3" s="1"/>
  <c r="G22" i="3" a="1"/>
  <c r="G22" i="3" s="1"/>
  <c r="G19" i="2" a="1"/>
  <c r="G19" i="2" s="1"/>
  <c r="G20" i="2" a="1"/>
  <c r="G20" i="2" s="1"/>
  <c r="G17" i="2" a="1"/>
  <c r="G17" i="2" s="1"/>
  <c r="G16" i="36" a="1"/>
  <c r="G16" i="36" s="1"/>
  <c r="I16" i="36" s="1" a="1"/>
  <c r="I16" i="36" s="1"/>
  <c r="G18" i="31" l="1" a="1"/>
  <c r="G18" i="31" s="1"/>
  <c r="I18" i="31" s="1" a="1"/>
  <c r="I18" i="31" s="1"/>
  <c r="G17" i="29" a="1"/>
  <c r="G17" i="29" s="1"/>
  <c r="I17" i="29" s="1" a="1"/>
  <c r="I17" i="29" s="1"/>
  <c r="G40" i="19" a="1"/>
  <c r="G40" i="19" s="1"/>
  <c r="G38" i="19" a="1"/>
  <c r="G38" i="19" s="1"/>
  <c r="G39" i="19" a="1"/>
  <c r="G39" i="19" s="1"/>
  <c r="G41" i="19" a="1"/>
  <c r="G41" i="19" s="1"/>
  <c r="G14" i="30" a="1"/>
  <c r="G14" i="30" s="1"/>
  <c r="H16" i="6"/>
  <c r="I11" i="43" l="1" a="1"/>
  <c r="I11" i="43" s="1"/>
  <c r="I30" i="43" a="1"/>
  <c r="I30" i="43" s="1"/>
  <c r="I29" i="43" a="1"/>
  <c r="I29" i="43" s="1"/>
  <c r="I28" i="43" a="1"/>
  <c r="I28" i="43" s="1"/>
  <c r="I27" i="43" a="1"/>
  <c r="I27" i="43" s="1"/>
  <c r="I26" i="43" a="1"/>
  <c r="I26" i="43" s="1"/>
  <c r="I25" i="43" a="1"/>
  <c r="I25" i="43" s="1"/>
  <c r="I24" i="43" a="1"/>
  <c r="I24" i="43" s="1"/>
  <c r="I23" i="43" a="1"/>
  <c r="I23" i="43" s="1"/>
  <c r="I22" i="43" a="1"/>
  <c r="I22" i="43" s="1"/>
  <c r="I21" i="43" a="1"/>
  <c r="I21" i="43" s="1"/>
  <c r="I20" i="43" a="1"/>
  <c r="I20" i="43" s="1"/>
  <c r="I19" i="43" a="1"/>
  <c r="I19" i="43" s="1"/>
  <c r="I18" i="43" a="1"/>
  <c r="I18" i="43" s="1"/>
  <c r="I17" i="43" a="1"/>
  <c r="I17" i="43" s="1"/>
  <c r="I16" i="43" a="1"/>
  <c r="I16" i="43" s="1"/>
  <c r="I13" i="43" a="1"/>
  <c r="I13" i="43" s="1"/>
  <c r="I12" i="43" a="1"/>
  <c r="I12" i="43" s="1"/>
  <c r="I15" i="43" a="1"/>
  <c r="I15" i="43" s="1"/>
  <c r="I14" i="43" a="1"/>
  <c r="I14" i="43" s="1"/>
  <c r="I11" i="42" a="1"/>
  <c r="I11" i="42" s="1"/>
  <c r="I11" i="41" a="1"/>
  <c r="I11" i="41" s="1"/>
  <c r="H11" i="35"/>
  <c r="H18" i="40"/>
  <c r="H16" i="40"/>
  <c r="H15" i="40"/>
  <c r="H17" i="40"/>
  <c r="H19" i="40"/>
  <c r="H11" i="40"/>
  <c r="H13" i="40"/>
  <c r="H14" i="40"/>
  <c r="H12" i="40"/>
  <c r="H11" i="24"/>
  <c r="E488" i="7"/>
  <c r="C495" i="7"/>
  <c r="E496" i="7"/>
  <c r="E494" i="7"/>
  <c r="D146" i="7"/>
  <c r="C502" i="7"/>
  <c r="C500" i="7"/>
  <c r="E487" i="7"/>
  <c r="C490" i="7"/>
  <c r="D497" i="7"/>
  <c r="C95" i="7"/>
  <c r="C494" i="7"/>
  <c r="E502" i="7"/>
  <c r="E497" i="7"/>
  <c r="C498" i="7"/>
  <c r="C489" i="7"/>
  <c r="D496" i="7"/>
  <c r="E490" i="7"/>
  <c r="D95" i="7"/>
  <c r="C487" i="7"/>
  <c r="E503" i="7"/>
  <c r="D492" i="7"/>
  <c r="C503" i="7"/>
  <c r="C492" i="7"/>
  <c r="C491" i="7"/>
  <c r="E505" i="7"/>
  <c r="D506" i="7"/>
  <c r="D503" i="7"/>
  <c r="C230" i="7"/>
  <c r="D493" i="7"/>
  <c r="C506" i="7"/>
  <c r="C501" i="7"/>
  <c r="C497" i="7"/>
  <c r="E493" i="7"/>
  <c r="E501" i="7"/>
  <c r="C504" i="7"/>
  <c r="E111" i="7"/>
  <c r="C505" i="7"/>
  <c r="C488" i="7"/>
  <c r="C178" i="7"/>
  <c r="D502" i="7"/>
  <c r="D501" i="7"/>
  <c r="D499" i="7"/>
  <c r="D494" i="7"/>
  <c r="C493" i="7"/>
  <c r="D487" i="7"/>
  <c r="D490" i="7"/>
  <c r="D178" i="7"/>
  <c r="D500" i="7"/>
  <c r="C111" i="7"/>
  <c r="D491" i="7"/>
  <c r="E495" i="7"/>
  <c r="E506" i="7"/>
  <c r="E146" i="7"/>
  <c r="D505" i="7"/>
  <c r="E489" i="7"/>
  <c r="E178" i="7"/>
  <c r="C146" i="7"/>
  <c r="E491" i="7"/>
  <c r="D495" i="7"/>
  <c r="D111" i="7"/>
  <c r="C499" i="7"/>
  <c r="D488" i="7"/>
  <c r="E492" i="7"/>
  <c r="D498" i="7"/>
  <c r="D504" i="7"/>
  <c r="D489" i="7"/>
  <c r="E498" i="7"/>
  <c r="C496" i="7"/>
  <c r="E95" i="7"/>
  <c r="E504" i="7"/>
  <c r="I13" i="40" l="1" a="1"/>
  <c r="I13" i="40" s="1"/>
  <c r="I14" i="40" a="1"/>
  <c r="I14" i="40" s="1"/>
  <c r="I17" i="40" a="1"/>
  <c r="I17" i="40" s="1"/>
  <c r="I16" i="40" a="1"/>
  <c r="I16" i="40" s="1"/>
  <c r="I18" i="40" a="1"/>
  <c r="I18" i="40" s="1"/>
  <c r="I12" i="40" a="1"/>
  <c r="I12" i="40" s="1"/>
  <c r="I15" i="40" a="1"/>
  <c r="I15" i="40" s="1"/>
  <c r="I19" i="40" a="1"/>
  <c r="I19" i="40" s="1"/>
  <c r="I11" i="35" a="1"/>
  <c r="I11" i="35" s="1"/>
  <c r="E500" i="7"/>
  <c r="E499" i="7"/>
  <c r="D163" i="7"/>
  <c r="E165" i="7"/>
  <c r="C331" i="7"/>
  <c r="C162" i="7"/>
  <c r="D164" i="7"/>
  <c r="H16" i="29" l="1"/>
  <c r="C165" i="7"/>
  <c r="C164" i="7"/>
  <c r="D167" i="7"/>
  <c r="C167" i="7"/>
  <c r="C333" i="7"/>
  <c r="D165" i="7"/>
  <c r="D162" i="7"/>
  <c r="D331" i="7"/>
  <c r="E162" i="7"/>
  <c r="E334" i="7"/>
  <c r="E163" i="7"/>
  <c r="D338" i="7"/>
  <c r="C336" i="7"/>
  <c r="E339" i="7"/>
  <c r="D230" i="7"/>
  <c r="C334" i="7"/>
  <c r="E230" i="7"/>
  <c r="E167" i="7"/>
  <c r="C335" i="7"/>
  <c r="D333" i="7"/>
  <c r="I11" i="40" l="1" a="1"/>
  <c r="I11" i="40" s="1"/>
  <c r="I12" i="27" a="1"/>
  <c r="I12" i="27" s="1"/>
  <c r="H20" i="40"/>
  <c r="H13" i="26"/>
  <c r="H14" i="26"/>
  <c r="E332" i="7"/>
  <c r="D339" i="7"/>
  <c r="C136" i="7"/>
  <c r="D334" i="7"/>
  <c r="D30" i="7"/>
  <c r="E338" i="7"/>
  <c r="C15" i="7"/>
  <c r="D131" i="7"/>
  <c r="E333" i="7"/>
  <c r="E32" i="7"/>
  <c r="C337" i="7"/>
  <c r="D16" i="7"/>
  <c r="C338" i="7"/>
  <c r="C130" i="7"/>
  <c r="C340" i="7"/>
  <c r="C129" i="7"/>
  <c r="C132" i="7"/>
  <c r="C138" i="7"/>
  <c r="C127" i="7"/>
  <c r="C32" i="7"/>
  <c r="D136" i="7"/>
  <c r="C31" i="7"/>
  <c r="C163" i="7"/>
  <c r="D63" i="7"/>
  <c r="C134" i="7"/>
  <c r="E336" i="7"/>
  <c r="D194" i="7"/>
  <c r="E335" i="7"/>
  <c r="C339" i="7"/>
  <c r="D138" i="7"/>
  <c r="D134" i="7"/>
  <c r="D31" i="7"/>
  <c r="C137" i="7"/>
  <c r="C16" i="7"/>
  <c r="D79" i="7"/>
  <c r="D129" i="7"/>
  <c r="D335" i="7"/>
  <c r="D132" i="7"/>
  <c r="D135" i="7"/>
  <c r="D337" i="7"/>
  <c r="E337" i="7"/>
  <c r="D47" i="7"/>
  <c r="D128" i="7"/>
  <c r="C63" i="7"/>
  <c r="C131" i="7"/>
  <c r="C194" i="7"/>
  <c r="C79" i="7"/>
  <c r="D332" i="7"/>
  <c r="E164" i="7"/>
  <c r="C332" i="7"/>
  <c r="D336" i="7"/>
  <c r="I20" i="40" l="1" a="1"/>
  <c r="I20" i="40" s="1"/>
  <c r="I11" i="27" a="1"/>
  <c r="I11" i="27" s="1"/>
  <c r="I14" i="26" a="1"/>
  <c r="I14" i="26" s="1"/>
  <c r="I13" i="26" a="1"/>
  <c r="I13" i="26" s="1"/>
  <c r="H36" i="19"/>
  <c r="H12" i="26"/>
  <c r="H18" i="26"/>
  <c r="H17" i="26"/>
  <c r="H11" i="26"/>
  <c r="H11" i="2"/>
  <c r="H14" i="24"/>
  <c r="H13" i="24"/>
  <c r="H15" i="24"/>
  <c r="C474" i="7"/>
  <c r="E349" i="7"/>
  <c r="D32" i="7"/>
  <c r="C315" i="7"/>
  <c r="D130" i="7"/>
  <c r="D349" i="7"/>
  <c r="D14" i="7"/>
  <c r="D15" i="7"/>
  <c r="D133" i="7"/>
  <c r="E30" i="7"/>
  <c r="E331" i="7"/>
  <c r="C128" i="7"/>
  <c r="C475" i="7"/>
  <c r="C473" i="7"/>
  <c r="C350" i="7"/>
  <c r="C30" i="7"/>
  <c r="C139" i="7"/>
  <c r="E31" i="7"/>
  <c r="D350" i="7"/>
  <c r="C352" i="7"/>
  <c r="D340" i="7"/>
  <c r="C347" i="7"/>
  <c r="C135" i="7"/>
  <c r="D347" i="7"/>
  <c r="D139" i="7"/>
  <c r="C14" i="7"/>
  <c r="E350" i="7"/>
  <c r="C348" i="7"/>
  <c r="C133" i="7"/>
  <c r="E340" i="7"/>
  <c r="C471" i="7"/>
  <c r="C349" i="7"/>
  <c r="D127" i="7"/>
  <c r="D137" i="7"/>
  <c r="C472" i="7"/>
  <c r="C316" i="7"/>
  <c r="I11" i="26" l="1" a="1"/>
  <c r="I11" i="26" s="1"/>
  <c r="I12" i="26" a="1"/>
  <c r="I12" i="26" s="1"/>
  <c r="I17" i="26" a="1"/>
  <c r="I17" i="26" s="1"/>
  <c r="I18" i="26" a="1"/>
  <c r="I18" i="26" s="1"/>
  <c r="I13" i="24" a="1"/>
  <c r="I13" i="24" s="1"/>
  <c r="I15" i="24" a="1"/>
  <c r="I15" i="24" s="1"/>
  <c r="I14" i="24" a="1"/>
  <c r="I14" i="24" s="1"/>
  <c r="H16" i="26"/>
  <c r="H12" i="24"/>
  <c r="E475" i="7"/>
  <c r="D475" i="7"/>
  <c r="E474" i="7"/>
  <c r="E194" i="7"/>
  <c r="D473" i="7"/>
  <c r="E473" i="7"/>
  <c r="I16" i="26" l="1" a="1"/>
  <c r="I16" i="26" s="1"/>
  <c r="I12" i="24" a="1"/>
  <c r="I12" i="24" s="1"/>
  <c r="I11" i="24" a="1"/>
  <c r="I11" i="24" s="1"/>
  <c r="C354" i="7"/>
  <c r="E472" i="7"/>
  <c r="D474" i="7"/>
  <c r="E354" i="7"/>
  <c r="C353" i="7"/>
  <c r="D352" i="7"/>
  <c r="D472" i="7"/>
  <c r="D354" i="7"/>
  <c r="D353" i="7"/>
  <c r="D471" i="7"/>
  <c r="E347" i="7"/>
  <c r="E353" i="7"/>
  <c r="E348" i="7"/>
  <c r="E352" i="7"/>
  <c r="D348" i="7"/>
  <c r="E471" i="7"/>
  <c r="I11" i="22" l="1" a="1"/>
  <c r="I11" i="22" s="1"/>
  <c r="I23" i="16" a="1"/>
  <c r="I23" i="16" s="1"/>
  <c r="I22" i="16" a="1"/>
  <c r="I22" i="16" s="1"/>
  <c r="I21" i="16" a="1"/>
  <c r="I21" i="16" s="1"/>
  <c r="I20" i="16" a="1"/>
  <c r="I20" i="16" s="1"/>
  <c r="I19" i="16" a="1"/>
  <c r="I19" i="16" s="1"/>
  <c r="I18" i="16" a="1"/>
  <c r="I18" i="16" s="1"/>
  <c r="I17" i="16" a="1"/>
  <c r="I17" i="16" s="1"/>
  <c r="I16" i="16" a="1"/>
  <c r="I16" i="16" s="1"/>
  <c r="I15" i="16" a="1"/>
  <c r="I15" i="16" s="1"/>
  <c r="I14" i="16" a="1"/>
  <c r="I14" i="16" s="1"/>
  <c r="I13" i="16" a="1"/>
  <c r="I13" i="16" s="1"/>
  <c r="I12" i="16" a="1"/>
  <c r="I12" i="16" s="1"/>
  <c r="I13" i="15" a="1"/>
  <c r="I13" i="15" s="1"/>
  <c r="I11" i="15" a="1"/>
  <c r="I11" i="15" s="1"/>
  <c r="I12" i="15" a="1"/>
  <c r="I12" i="15" s="1"/>
  <c r="I36" i="19" a="1"/>
  <c r="I36" i="19" s="1"/>
  <c r="H11" i="13"/>
  <c r="H12" i="13"/>
  <c r="H14" i="6"/>
  <c r="H11" i="6"/>
  <c r="H13" i="6"/>
  <c r="H12" i="6"/>
  <c r="H15" i="4"/>
  <c r="H14" i="4"/>
  <c r="H16" i="4"/>
  <c r="H11" i="4"/>
  <c r="H13" i="4"/>
  <c r="H12" i="4"/>
  <c r="H16" i="5"/>
  <c r="H12" i="5"/>
  <c r="H15" i="5"/>
  <c r="H13" i="5"/>
  <c r="H14" i="5"/>
  <c r="H11" i="5"/>
  <c r="H16" i="3"/>
  <c r="H12" i="3"/>
  <c r="H13" i="3"/>
  <c r="H14" i="3"/>
  <c r="H17" i="3"/>
  <c r="H15" i="3"/>
  <c r="H11" i="3"/>
  <c r="H18" i="3"/>
  <c r="H15" i="2"/>
  <c r="H14" i="2"/>
  <c r="H13" i="2"/>
  <c r="H12" i="2"/>
  <c r="E133" i="7"/>
  <c r="E130" i="7"/>
  <c r="E15" i="7"/>
  <c r="E137" i="7"/>
  <c r="E14" i="7"/>
  <c r="E128" i="7"/>
  <c r="E47" i="7"/>
  <c r="E134" i="7"/>
  <c r="E127" i="7"/>
  <c r="E63" i="7"/>
  <c r="D316" i="7"/>
  <c r="E135" i="7"/>
  <c r="D315" i="7"/>
  <c r="E138" i="7"/>
  <c r="E16" i="7"/>
  <c r="I11" i="23" l="1" a="1"/>
  <c r="I11" i="23" s="1"/>
  <c r="I12" i="13" a="1"/>
  <c r="I12" i="13" s="1"/>
  <c r="I11" i="13" a="1"/>
  <c r="I11" i="13" s="1"/>
  <c r="I12" i="6" a="1"/>
  <c r="I12" i="6" s="1"/>
  <c r="I13" i="6" a="1"/>
  <c r="I13" i="6" s="1"/>
  <c r="I14" i="6" a="1"/>
  <c r="I14" i="6" s="1"/>
  <c r="I17" i="3" a="1"/>
  <c r="I17" i="3" s="1"/>
  <c r="I14" i="3" a="1"/>
  <c r="I14" i="3" s="1"/>
  <c r="I13" i="3" a="1"/>
  <c r="I13" i="3" s="1"/>
  <c r="I18" i="3" a="1"/>
  <c r="I18" i="3" s="1"/>
  <c r="I15" i="3" a="1"/>
  <c r="I15" i="3" s="1"/>
  <c r="I11" i="3" a="1"/>
  <c r="I11" i="3" s="1"/>
  <c r="I15" i="2" a="1"/>
  <c r="I15" i="2" s="1"/>
  <c r="I14" i="2" a="1"/>
  <c r="I14" i="2" s="1"/>
  <c r="I13" i="2" a="1"/>
  <c r="I13" i="2" s="1"/>
  <c r="I15" i="4" a="1"/>
  <c r="I15" i="4" s="1"/>
  <c r="I13" i="4" a="1"/>
  <c r="I13" i="4" s="1"/>
  <c r="I11" i="4" a="1"/>
  <c r="I11" i="4" s="1"/>
  <c r="I12" i="4" a="1"/>
  <c r="I12" i="4" s="1"/>
  <c r="I16" i="4" a="1"/>
  <c r="I16" i="4" s="1"/>
  <c r="I12" i="5" a="1"/>
  <c r="I12" i="5" s="1"/>
  <c r="I15" i="5" a="1"/>
  <c r="I15" i="5" s="1"/>
  <c r="I13" i="5" a="1"/>
  <c r="I13" i="5" s="1"/>
  <c r="I16" i="5" a="1"/>
  <c r="I16" i="5" s="1"/>
  <c r="I11" i="5" a="1"/>
  <c r="I11" i="5" s="1"/>
  <c r="I14" i="5" a="1"/>
  <c r="I14" i="5" s="1"/>
  <c r="H18" i="6"/>
  <c r="H17" i="6"/>
  <c r="H19" i="4"/>
  <c r="H19" i="5"/>
  <c r="H24" i="3"/>
  <c r="I24" i="3" s="1" a="1"/>
  <c r="I24" i="3" s="1"/>
  <c r="H22" i="3"/>
  <c r="H21" i="3"/>
  <c r="H23" i="3"/>
  <c r="H18" i="2"/>
  <c r="H21" i="2"/>
  <c r="H20" i="2"/>
  <c r="H22" i="2"/>
  <c r="H19" i="2"/>
  <c r="C215" i="7"/>
  <c r="C247" i="7"/>
  <c r="D216" i="7"/>
  <c r="D214" i="7"/>
  <c r="C218" i="7"/>
  <c r="E302" i="7"/>
  <c r="E215" i="7"/>
  <c r="D299" i="7"/>
  <c r="C283" i="7"/>
  <c r="C256" i="7"/>
  <c r="E315" i="7"/>
  <c r="D253" i="7"/>
  <c r="C291" i="7"/>
  <c r="E300" i="7"/>
  <c r="E247" i="7"/>
  <c r="C285" i="7"/>
  <c r="E132" i="7"/>
  <c r="C253" i="7"/>
  <c r="C248" i="7"/>
  <c r="C214" i="7"/>
  <c r="E251" i="7"/>
  <c r="C305" i="7"/>
  <c r="D249" i="7"/>
  <c r="C306" i="7"/>
  <c r="E283" i="7"/>
  <c r="C259" i="7"/>
  <c r="E254" i="7"/>
  <c r="C222" i="7"/>
  <c r="D248" i="7"/>
  <c r="C257" i="7"/>
  <c r="C252" i="7"/>
  <c r="D284" i="7"/>
  <c r="D287" i="7"/>
  <c r="C258" i="7"/>
  <c r="D215" i="7"/>
  <c r="E214" i="7"/>
  <c r="D301" i="7"/>
  <c r="D251" i="7"/>
  <c r="C302" i="7"/>
  <c r="C250" i="7"/>
  <c r="C220" i="7"/>
  <c r="E287" i="7"/>
  <c r="D250" i="7"/>
  <c r="D288" i="7"/>
  <c r="D213" i="7"/>
  <c r="C299" i="7"/>
  <c r="E250" i="7"/>
  <c r="C251" i="7"/>
  <c r="E285" i="7"/>
  <c r="D283" i="7"/>
  <c r="D286" i="7"/>
  <c r="C216" i="7"/>
  <c r="C223" i="7"/>
  <c r="C286" i="7"/>
  <c r="D285" i="7"/>
  <c r="C260" i="7"/>
  <c r="E301" i="7"/>
  <c r="C219" i="7"/>
  <c r="D252" i="7"/>
  <c r="C254" i="7"/>
  <c r="E79" i="7"/>
  <c r="E216" i="7"/>
  <c r="C287" i="7"/>
  <c r="D247" i="7"/>
  <c r="E139" i="7"/>
  <c r="C288" i="7"/>
  <c r="C301" i="7"/>
  <c r="C249" i="7"/>
  <c r="D212" i="7"/>
  <c r="D302" i="7"/>
  <c r="E288" i="7"/>
  <c r="C212" i="7"/>
  <c r="C221" i="7"/>
  <c r="D300" i="7"/>
  <c r="C290" i="7"/>
  <c r="E131" i="7"/>
  <c r="C284" i="7"/>
  <c r="D254" i="7"/>
  <c r="E249" i="7"/>
  <c r="E136" i="7"/>
  <c r="C213" i="7"/>
  <c r="E316" i="7"/>
  <c r="D291" i="7"/>
  <c r="C267" i="7"/>
  <c r="E284" i="7"/>
  <c r="E253" i="7"/>
  <c r="E129" i="7"/>
  <c r="I11" i="6" l="1" a="1"/>
  <c r="I11" i="6" s="1"/>
  <c r="I16" i="3" a="1"/>
  <c r="I16" i="3" s="1"/>
  <c r="I12" i="3" a="1"/>
  <c r="I12" i="3" s="1"/>
  <c r="I23" i="3" a="1"/>
  <c r="I23" i="3" s="1"/>
  <c r="I21" i="3" a="1"/>
  <c r="I21" i="3" s="1"/>
  <c r="I22" i="3" a="1"/>
  <c r="I22" i="3" s="1"/>
  <c r="I11" i="2" a="1"/>
  <c r="I11" i="2" s="1"/>
  <c r="I12" i="2" a="1"/>
  <c r="I12" i="2" s="1"/>
  <c r="I20" i="2" a="1"/>
  <c r="I20" i="2" s="1"/>
  <c r="I22" i="2" a="1"/>
  <c r="I22" i="2" s="1"/>
  <c r="I19" i="2" a="1"/>
  <c r="I19" i="2" s="1"/>
  <c r="I21" i="2" a="1"/>
  <c r="I21" i="2" s="1"/>
  <c r="I19" i="4" a="1"/>
  <c r="I19" i="4" s="1"/>
  <c r="I14" i="4" a="1"/>
  <c r="I14" i="4" s="1"/>
  <c r="I19" i="5" a="1"/>
  <c r="I19" i="5" s="1"/>
  <c r="H18" i="4"/>
  <c r="H18" i="5"/>
  <c r="H20" i="3"/>
  <c r="H17" i="2"/>
  <c r="D219" i="7"/>
  <c r="D306" i="7"/>
  <c r="E275" i="7"/>
  <c r="D259" i="7"/>
  <c r="D258" i="7"/>
  <c r="C268" i="7"/>
  <c r="D269" i="7"/>
  <c r="D267" i="7"/>
  <c r="D268" i="7"/>
  <c r="E259" i="7"/>
  <c r="E223" i="7"/>
  <c r="D218" i="7"/>
  <c r="D257" i="7"/>
  <c r="E252" i="7"/>
  <c r="E271" i="7"/>
  <c r="D220" i="7"/>
  <c r="D305" i="7"/>
  <c r="E270" i="7"/>
  <c r="E268" i="7"/>
  <c r="D222" i="7"/>
  <c r="C300" i="7"/>
  <c r="D270" i="7"/>
  <c r="E222" i="7"/>
  <c r="E248" i="7"/>
  <c r="C271" i="7"/>
  <c r="C269" i="7"/>
  <c r="E291" i="7"/>
  <c r="E272" i="7"/>
  <c r="D290" i="7"/>
  <c r="D275" i="7"/>
  <c r="C272" i="7"/>
  <c r="C275" i="7"/>
  <c r="D260" i="7"/>
  <c r="E213" i="7"/>
  <c r="E267" i="7"/>
  <c r="D272" i="7"/>
  <c r="E260" i="7"/>
  <c r="D223" i="7"/>
  <c r="E258" i="7"/>
  <c r="E212" i="7"/>
  <c r="D274" i="7"/>
  <c r="E269" i="7"/>
  <c r="C274" i="7"/>
  <c r="E220" i="7"/>
  <c r="D221" i="7"/>
  <c r="C304" i="7"/>
  <c r="E257" i="7"/>
  <c r="E299" i="7"/>
  <c r="D271" i="7"/>
  <c r="C270" i="7"/>
  <c r="E221" i="7"/>
  <c r="E286" i="7"/>
  <c r="I18" i="4" l="1" a="1"/>
  <c r="I18" i="4" s="1"/>
  <c r="I18" i="5" a="1"/>
  <c r="I18" i="5" s="1"/>
  <c r="I16" i="6" a="1"/>
  <c r="I16" i="6" s="1"/>
  <c r="I18" i="6" a="1"/>
  <c r="I18" i="6" s="1"/>
  <c r="I17" i="6" a="1"/>
  <c r="I17" i="6" s="1"/>
  <c r="I20" i="3" a="1"/>
  <c r="I20" i="3" s="1"/>
  <c r="I17" i="2" a="1"/>
  <c r="I17" i="2" s="1"/>
  <c r="I18" i="2" a="1"/>
  <c r="I18" i="2" s="1"/>
  <c r="H11" i="19"/>
  <c r="E305" i="7"/>
  <c r="E304" i="7"/>
  <c r="E219" i="7"/>
  <c r="D365" i="7"/>
  <c r="E218" i="7"/>
  <c r="D304" i="7"/>
  <c r="E398" i="7"/>
  <c r="E274" i="7"/>
  <c r="D398" i="7"/>
  <c r="E306" i="7"/>
  <c r="C365" i="7"/>
  <c r="E365" i="7"/>
  <c r="E256" i="7"/>
  <c r="C398" i="7"/>
  <c r="D256" i="7"/>
  <c r="I11" i="19" l="1" a="1"/>
  <c r="I11" i="19" s="1"/>
  <c r="H34" i="19"/>
  <c r="H14" i="19"/>
  <c r="H20" i="19"/>
  <c r="H23" i="19"/>
  <c r="H13" i="19"/>
  <c r="H16" i="19"/>
  <c r="H26" i="19"/>
  <c r="H29" i="19"/>
  <c r="H25" i="19"/>
  <c r="H18" i="19"/>
  <c r="H19" i="19"/>
  <c r="H31" i="19"/>
  <c r="H21" i="19"/>
  <c r="H12" i="19"/>
  <c r="H24" i="19"/>
  <c r="H33" i="19"/>
  <c r="H35" i="19"/>
  <c r="H17" i="19"/>
  <c r="H22" i="19"/>
  <c r="H27" i="19"/>
  <c r="H15" i="19"/>
  <c r="H32" i="19"/>
  <c r="H28" i="19"/>
  <c r="H30" i="19"/>
  <c r="D414" i="7"/>
  <c r="C381" i="7"/>
  <c r="C414" i="7"/>
  <c r="D383" i="7"/>
  <c r="C419" i="7"/>
  <c r="E416" i="7"/>
  <c r="E421" i="7"/>
  <c r="C387" i="7"/>
  <c r="E419" i="7"/>
  <c r="E290" i="7"/>
  <c r="E384" i="7"/>
  <c r="C417" i="7"/>
  <c r="E415" i="7"/>
  <c r="D385" i="7"/>
  <c r="C421" i="7"/>
  <c r="D418" i="7"/>
  <c r="D419" i="7"/>
  <c r="E387" i="7"/>
  <c r="D384" i="7"/>
  <c r="D381" i="7"/>
  <c r="E383" i="7"/>
  <c r="E414" i="7"/>
  <c r="D421" i="7"/>
  <c r="C416" i="7"/>
  <c r="C384" i="7"/>
  <c r="D382" i="7"/>
  <c r="C385" i="7"/>
  <c r="C415" i="7"/>
  <c r="C382" i="7"/>
  <c r="D416" i="7"/>
  <c r="E381" i="7"/>
  <c r="E417" i="7"/>
  <c r="E418" i="7"/>
  <c r="C418" i="7"/>
  <c r="D415" i="7"/>
  <c r="D417" i="7"/>
  <c r="C383" i="7"/>
  <c r="D387" i="7"/>
  <c r="I21" i="19" l="1" a="1"/>
  <c r="I21" i="19" s="1"/>
  <c r="I27" i="19" a="1"/>
  <c r="I27" i="19" s="1"/>
  <c r="I18" i="19" a="1"/>
  <c r="I18" i="19" s="1"/>
  <c r="I12" i="19" a="1"/>
  <c r="I12" i="19" s="1"/>
  <c r="I28" i="19" a="1"/>
  <c r="I28" i="19" s="1"/>
  <c r="I22" i="19" a="1"/>
  <c r="I22" i="19" s="1"/>
  <c r="I25" i="19" a="1"/>
  <c r="I25" i="19" s="1"/>
  <c r="I30" i="19" a="1"/>
  <c r="I30" i="19" s="1"/>
  <c r="I31" i="19" a="1"/>
  <c r="I31" i="19" s="1"/>
  <c r="I17" i="19" a="1"/>
  <c r="I17" i="19" s="1"/>
  <c r="I29" i="19" a="1"/>
  <c r="I29" i="19" s="1"/>
  <c r="I23" i="19" a="1"/>
  <c r="I23" i="19" s="1"/>
  <c r="I32" i="19" a="1"/>
  <c r="I32" i="19" s="1"/>
  <c r="I35" i="19" a="1"/>
  <c r="I35" i="19" s="1"/>
  <c r="I26" i="19" a="1"/>
  <c r="I26" i="19" s="1"/>
  <c r="I20" i="19" a="1"/>
  <c r="I20" i="19" s="1"/>
  <c r="I19" i="19" a="1"/>
  <c r="I19" i="19" s="1"/>
  <c r="I33" i="19" a="1"/>
  <c r="I33" i="19" s="1"/>
  <c r="I16" i="19" a="1"/>
  <c r="I16" i="19" s="1"/>
  <c r="I14" i="19" a="1"/>
  <c r="I14" i="19" s="1"/>
  <c r="I15" i="19" a="1"/>
  <c r="I15" i="19" s="1"/>
  <c r="I24" i="19" a="1"/>
  <c r="I24" i="19" s="1"/>
  <c r="I13" i="19" a="1"/>
  <c r="I13" i="19" s="1"/>
  <c r="I34" i="19" a="1"/>
  <c r="I34" i="19" s="1"/>
  <c r="H39" i="19"/>
  <c r="H38" i="19"/>
  <c r="H41" i="19"/>
  <c r="H40" i="19"/>
  <c r="D434" i="7"/>
  <c r="E435" i="7"/>
  <c r="C443" i="7"/>
  <c r="E440" i="7"/>
  <c r="E438" i="7"/>
  <c r="C442" i="7"/>
  <c r="D454" i="7"/>
  <c r="D444" i="7"/>
  <c r="C449" i="7"/>
  <c r="D450" i="7"/>
  <c r="E457" i="7"/>
  <c r="C462" i="7"/>
  <c r="C463" i="7"/>
  <c r="E453" i="7"/>
  <c r="D458" i="7"/>
  <c r="D448" i="7"/>
  <c r="D439" i="7"/>
  <c r="E443" i="7"/>
  <c r="E454" i="7"/>
  <c r="E456" i="7"/>
  <c r="D457" i="7"/>
  <c r="E441" i="7"/>
  <c r="C448" i="7"/>
  <c r="C452" i="7"/>
  <c r="D449" i="7"/>
  <c r="D452" i="7"/>
  <c r="E437" i="7"/>
  <c r="C454" i="7"/>
  <c r="E449" i="7"/>
  <c r="E439" i="7"/>
  <c r="C456" i="7"/>
  <c r="E434" i="7"/>
  <c r="E455" i="7"/>
  <c r="C451" i="7"/>
  <c r="C461" i="7"/>
  <c r="C438" i="7"/>
  <c r="C444" i="7"/>
  <c r="E458" i="7"/>
  <c r="D464" i="7"/>
  <c r="C441" i="7"/>
  <c r="C447" i="7"/>
  <c r="C437" i="7"/>
  <c r="D442" i="7"/>
  <c r="D462" i="7"/>
  <c r="C457" i="7"/>
  <c r="D435" i="7"/>
  <c r="C434" i="7"/>
  <c r="D447" i="7"/>
  <c r="D438" i="7"/>
  <c r="C445" i="7"/>
  <c r="D455" i="7"/>
  <c r="D436" i="7"/>
  <c r="D456" i="7"/>
  <c r="C440" i="7"/>
  <c r="C460" i="7"/>
  <c r="C453" i="7"/>
  <c r="E451" i="7"/>
  <c r="C455" i="7"/>
  <c r="E444" i="7"/>
  <c r="C450" i="7"/>
  <c r="E442" i="7"/>
  <c r="C446" i="7"/>
  <c r="E450" i="7"/>
  <c r="D437" i="7"/>
  <c r="E452" i="7"/>
  <c r="C464" i="7"/>
  <c r="D446" i="7"/>
  <c r="E448" i="7"/>
  <c r="E447" i="7"/>
  <c r="D440" i="7"/>
  <c r="C458" i="7"/>
  <c r="E385" i="7"/>
  <c r="D461" i="7"/>
  <c r="C435" i="7"/>
  <c r="D443" i="7"/>
  <c r="E445" i="7"/>
  <c r="D451" i="7"/>
  <c r="D453" i="7"/>
  <c r="D463" i="7"/>
  <c r="E382" i="7"/>
  <c r="E446" i="7"/>
  <c r="E436" i="7"/>
  <c r="D441" i="7"/>
  <c r="C439" i="7"/>
  <c r="C436" i="7"/>
  <c r="D445" i="7"/>
  <c r="I40" i="19" l="1" a="1"/>
  <c r="I40" i="19" s="1"/>
  <c r="I41" i="19" a="1"/>
  <c r="I41" i="19" s="1"/>
  <c r="I38" i="19" a="1"/>
  <c r="I38" i="19" s="1"/>
  <c r="I39" i="19" a="1"/>
  <c r="I39" i="19" s="1"/>
  <c r="H37" i="19"/>
  <c r="I37" i="19" s="1" a="1"/>
  <c r="I37" i="19" s="1"/>
  <c r="D460" i="7"/>
  <c r="E460" i="7"/>
  <c r="E463" i="7"/>
  <c r="E462" i="7"/>
  <c r="E464" i="7"/>
  <c r="E461"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<sst xmlns="http://schemas.openxmlformats.org/spreadsheetml/2006/main" count="3268" uniqueCount="1658">
  <si>
    <t>Perth Alexithymia Questionnaire (PAQ)</t>
  </si>
  <si>
    <t>Item</t>
  </si>
  <si>
    <t>Item content</t>
  </si>
  <si>
    <t>When I’m feeling bad (feeling an unpleasant emotion), I can’t find the right words to describe those feelings.</t>
  </si>
  <si>
    <t>When I’m feeling bad, I can’t tell whether I’m sad, angry, or scared.</t>
  </si>
  <si>
    <t>I tend to ignore how I feel.</t>
  </si>
  <si>
    <t>When I’m feeling good (feeling a pleasant emotion), I can’t find the right words to describe those feelings.</t>
  </si>
  <si>
    <t>When I’m feeling good, I can’t tell whether I’m happy, excited, or amused.</t>
  </si>
  <si>
    <t>I prefer to just let my feelings happen in the background, rather than focus on them.</t>
  </si>
  <si>
    <t>When I’m feeling bad, I can’t talk about those feelings in much depth or detail.</t>
  </si>
  <si>
    <t>When I’m feeling bad, I can’t make sense of those feelings.</t>
  </si>
  <si>
    <t>I don’t pay attention to my emotions.</t>
  </si>
  <si>
    <t>When I’m feeling good, I can’t talk about those feelings in much depth or detail.</t>
  </si>
  <si>
    <t>When I’m feeling good, I can’t make sense of those feelings.</t>
  </si>
  <si>
    <t>Usually, I try to avoid thinking about what I’m feeling.</t>
  </si>
  <si>
    <t>When something bad happens, it’s hard for me to put into words how I’m feeling.</t>
  </si>
  <si>
    <t>When I’m feeling bad, I get confused about what emotion it is.</t>
  </si>
  <si>
    <t>I prefer to focus on things I can actually see or touch, rather than my emotions.</t>
  </si>
  <si>
    <t>When something good happens, it’s hard for me to put into words how I’m feeling.</t>
  </si>
  <si>
    <t>When I’m feeling good, I get confused about what emotion it is.</t>
  </si>
  <si>
    <t>I don’t try to be ‘in touch’ with my emotions.</t>
  </si>
  <si>
    <t>When I’m feeling bad, if I try to describe how I’m feeling I don’t know what to say.</t>
  </si>
  <si>
    <t>When I’m feeling bad, I’m puzzled by those feelings.</t>
  </si>
  <si>
    <t>It’s not important for me to know what I’m feeling.</t>
  </si>
  <si>
    <t>When I’m feeling good, if I try to describe how I’m feeling I don’t know what to say.</t>
  </si>
  <si>
    <t>When I’m feeling good, I’m puzzled by those feelings.</t>
  </si>
  <si>
    <t>It’s strange for me to think about my emotions.</t>
  </si>
  <si>
    <t>Perth Emotion Regulation Competency Inventory (PERCI)</t>
  </si>
  <si>
    <t>Perth Emotional Reactivity Scale (PERS)</t>
  </si>
  <si>
    <t>Emotion Beliefs Questionnaire (EBQ)</t>
  </si>
  <si>
    <t>Once people are experiencing negative emotions, there is nothing they can do about modifying them.</t>
  </si>
  <si>
    <t>People cannot control their positive emotions.</t>
  </si>
  <si>
    <t>There is very little use for negative emotions.</t>
  </si>
  <si>
    <t>Positive emotions are very unhelpful to people.</t>
  </si>
  <si>
    <t>It doesn’t matter how hard people try, they cannot change their negative emotions.</t>
  </si>
  <si>
    <t>People cannot learn techniques to effectively control their positive emotions.</t>
  </si>
  <si>
    <t>People don’t need their negative emotions.</t>
  </si>
  <si>
    <t>There is very little use for positive emotions.</t>
  </si>
  <si>
    <t>People cannot control their negative emotions.</t>
  </si>
  <si>
    <t>It doesn’t matter how hard people try, they cannot change their positive emotions.</t>
  </si>
  <si>
    <t>Negative emotions are harmful.</t>
  </si>
  <si>
    <t>People don’t need their positive emotions.</t>
  </si>
  <si>
    <t>People cannot learn techniques to effectively control their negative emotions.</t>
  </si>
  <si>
    <t>Once people are experiencing positive emotions, there is nothing they can do about modifying them.</t>
  </si>
  <si>
    <t>The presence of negative emotions is a bad thing for people.</t>
  </si>
  <si>
    <t>Positive emotions are harmful.</t>
  </si>
  <si>
    <t>I tend to get happy very easily.</t>
  </si>
  <si>
    <t>I tend to get upset very easily.</t>
  </si>
  <si>
    <t>When I’m happy, the feeling stays with me for quite a while.</t>
  </si>
  <si>
    <t>When I’m upset, it takes me quite a while to snap out of it.</t>
  </si>
  <si>
    <t>When I am joyful, I tend to feel it very deeply.</t>
  </si>
  <si>
    <t>If I’m upset, I feel it more intensely than everyone else.</t>
  </si>
  <si>
    <t>I feel good about positive things in an instant.</t>
  </si>
  <si>
    <t>I tend to get disappointed very easily.</t>
  </si>
  <si>
    <t>When I’m feeling positive, I can stay like that for a good part of the day.</t>
  </si>
  <si>
    <t>It’s hard for me to recover from frustration.</t>
  </si>
  <si>
    <t>I experience positive mood very strongly.</t>
  </si>
  <si>
    <t>Normally, when I’m unhappy I feel it very strongly.</t>
  </si>
  <si>
    <t>I react to good news very quickly.</t>
  </si>
  <si>
    <t>I tend to get pessimistic about negative things very quickly.</t>
  </si>
  <si>
    <t>I can remain enthusiastic for quite a while.</t>
  </si>
  <si>
    <t>Once in a negative mood, it’s hard to snap out of it.</t>
  </si>
  <si>
    <t>When I’m enthusiastic about something, I feel it very powerfully.</t>
  </si>
  <si>
    <t>My negative feelings feel very intense.</t>
  </si>
  <si>
    <t>Perth Emotional Reactivity Scale - Short Form (PERS-S)</t>
  </si>
  <si>
    <t>I think I experience happiness more intensely than my friends.</t>
  </si>
  <si>
    <t>My emotions go automatically from neutral to positive.</t>
  </si>
  <si>
    <t>It takes me longer than other people to get over an anger episode.</t>
  </si>
  <si>
    <t>I experience the feeling of frustration very deeply.</t>
  </si>
  <si>
    <t>I tend to get enthusiastic about things very quickly.</t>
  </si>
  <si>
    <t>I tend to get frustrated very easily.</t>
  </si>
  <si>
    <t>I can remain enthusiastic for quite a while</t>
  </si>
  <si>
    <t>It’s hard for me to recover from frustration</t>
  </si>
  <si>
    <t>I experience positive mood very strongly</t>
  </si>
  <si>
    <t>Normally, when I’m unhappy I feel it very strongly</t>
  </si>
  <si>
    <t>I feel good about positive things in an instant</t>
  </si>
  <si>
    <t>My emotions go from neutral to negative very quickly</t>
  </si>
  <si>
    <t>I stay happy for a while if I receive pleasant news</t>
  </si>
  <si>
    <t>Once in a negative mood, it’s hard to snap out of it</t>
  </si>
  <si>
    <t>When I’m enthusiastic about something, I feel it very powerfully</t>
  </si>
  <si>
    <t>When I’m angry I feel it very powerfully</t>
  </si>
  <si>
    <t>I react to good news very quickly</t>
  </si>
  <si>
    <t>I tend to get pessimistic about negative things very quickly</t>
  </si>
  <si>
    <t>If someone pays me a compliment, it improves my mood for a long time</t>
  </si>
  <si>
    <t>When annoyed about something, it ruins my entire day</t>
  </si>
  <si>
    <t>I experience positive feelings more deeply than my relatives and friends</t>
  </si>
  <si>
    <t>My negative feelings feel very intense</t>
  </si>
  <si>
    <t>When I’m feeling bad (feeling an unpleasant emotion), I don’t know what to do to feel better.</t>
  </si>
  <si>
    <t>When I’m feeling bad, those feelings stop me from getting work done.</t>
  </si>
  <si>
    <t>When I’m feeling bad, I do stupid things.</t>
  </si>
  <si>
    <t>When I’m feeling bad, I believe I need to get rid of those feelings at all costs.</t>
  </si>
  <si>
    <t>When I’m feeling bad, I’m powerless to change how I’m feeling.</t>
  </si>
  <si>
    <t>When I’m feeling bad, I can’t complete tasks that I’m meant to be doing.</t>
  </si>
  <si>
    <t>When I’m feeling bad, my behavior becomes out of control.</t>
  </si>
  <si>
    <t>When I’m feeling bad, I can’t allow those feelings to be there.</t>
  </si>
  <si>
    <t>When I’m feeling bad, I don’t have many strategies (e.g., activities or techniques) to help get rid of that feeling.</t>
  </si>
  <si>
    <t>When I’m feeling bad, I can’t get motivated to do important things (work, chores, school etc.).</t>
  </si>
  <si>
    <t>When I’m feeling bad, I have trouble controlling my actions.</t>
  </si>
  <si>
    <t>When I’m feeling bad, I must try to totally eliminate those feelings.</t>
  </si>
  <si>
    <t>When I’m feeling bad, I have no control over the strength and duration of that feeling.</t>
  </si>
  <si>
    <t>When I’m feeling bad, I have trouble getting anything done.</t>
  </si>
  <si>
    <t>When I’m feeling bad, I have strong urges to do risky things.</t>
  </si>
  <si>
    <t>When I’m feeling bad, I believe those feelings are unacceptable.</t>
  </si>
  <si>
    <t>When I’m feeling good (feeling a pleasant emotion), I do stupid things.</t>
  </si>
  <si>
    <t>When I’m feeling good, I don’t have many strategies (e.g., activities or techniques) to increase the strength of that feeling.</t>
  </si>
  <si>
    <t>When I’m feeling good, I have trouble completing tasks that I’m meant to be doing.</t>
  </si>
  <si>
    <t>When I’m feeling good, part of me hates those feelings.</t>
  </si>
  <si>
    <t>When I’m feeling good, my behavior becomes out of control.</t>
  </si>
  <si>
    <t>I don’t know what to do to create pleasant feelings in myself.</t>
  </si>
  <si>
    <t>When I’m feeling good, I end up neglecting my responsibilities (work, chores, school etc.).</t>
  </si>
  <si>
    <t>When I’m feeling good, I can’t allow those feelings to be there.</t>
  </si>
  <si>
    <t>When I’m feeling good, I have strong urges to do risky things.</t>
  </si>
  <si>
    <t>When I’m feeling good, I have no control over whether that feeling stays or goes.</t>
  </si>
  <si>
    <t>When I’m feeling good, I have difficulty staying focused during important stuff (at work or school, etc.).</t>
  </si>
  <si>
    <t>When I’m feeling good, I believe those feelings are unacceptable.</t>
  </si>
  <si>
    <t>When I’m feeling good, I can’t keep control over myself (in terms of my behaviors).</t>
  </si>
  <si>
    <t>When I’m feeling good, I don’t have any useful ways to help myself keep feeling that way.</t>
  </si>
  <si>
    <t>When I’m feeling good, I have trouble getting anything done.</t>
  </si>
  <si>
    <t>When I’m feeling good, I must try to eliminate those feelings.</t>
  </si>
  <si>
    <t>How to Use</t>
  </si>
  <si>
    <t>How to Interpret Scores</t>
  </si>
  <si>
    <t>More information and contacts</t>
  </si>
  <si>
    <t>PAQ</t>
  </si>
  <si>
    <t>Preece, D., Becerra, R., Robinson, K., Dandy, J., &amp; Allan, A. (2018a). The psychometric assessment of alexithymia: Development and validation of the Perth Alexithymia Questionnaire. Personality and Individual Differences, 132, 32-44.</t>
  </si>
  <si>
    <t>PERCI</t>
  </si>
  <si>
    <t>Preece, D. A., Becerra, R., Robinson, K., Dandy, J., &amp; Allan, A. (2018b). Measuring emotion regulation ability across negative and positive emotions: The Perth Emotion Regulation Competency Inventory (PERCI). Personality and Individual Differences, 135, 229-241.</t>
  </si>
  <si>
    <t>EBQ</t>
  </si>
  <si>
    <t>Profile Summary</t>
  </si>
  <si>
    <t>Perth Alexithymia Questionnaire (PAQ; Preece et al., 2018a)</t>
  </si>
  <si>
    <t>Perth Emotion Regulation Competency Inventory (PERCI; Preece et al., 2018b)</t>
  </si>
  <si>
    <t>Perth Emotional Reactivity Scale (PERS; Becerra et al., 2019)</t>
  </si>
  <si>
    <t>Emotion Beliefs Questionnaire (EBQ; Becerra et al., 2020)</t>
  </si>
  <si>
    <t>Auto-calculated subscale and composite scores</t>
  </si>
  <si>
    <t>Subscales</t>
  </si>
  <si>
    <t>Scores</t>
  </si>
  <si>
    <t>z-score</t>
  </si>
  <si>
    <t>Content measured</t>
  </si>
  <si>
    <t>Composites</t>
  </si>
  <si>
    <t>Total scale score</t>
  </si>
  <si>
    <t>Difficulty identifying, understanding, and differentiating between one’s own negative feelings.</t>
  </si>
  <si>
    <t>Difficulty identifying, understanding, and differentiating between one’s own positive feelings.</t>
  </si>
  <si>
    <t>Difficulty describing and communicating one’s own negative feelings.</t>
  </si>
  <si>
    <t>Difficulty describing and communicating one’s own positive feelings.</t>
  </si>
  <si>
    <t>Tendency to not focus attention on one’s own emotions (negative and positive).</t>
  </si>
  <si>
    <t>Difficulty identifying, understanding, and differentiating between one’s own feelings (negative and positive).</t>
  </si>
  <si>
    <t>Difficulty describing and communicating one’s own feelings (negative and positive).</t>
  </si>
  <si>
    <t>Difficulty identifying and describing (i.e., appraising) one’s own negative feelings</t>
  </si>
  <si>
    <t>Difficulty identifying and describing (i.e., appraising) one’s own positive feelings</t>
  </si>
  <si>
    <t>Difficulty identifying and describing (i.e., appraising) one’s own feelings (negative and positive)</t>
  </si>
  <si>
    <t>Overall alexithymia; difficulty focusing attention on and appraising one’s own feelings (negative and positive).</t>
  </si>
  <si>
    <t>Score range</t>
  </si>
  <si>
    <t>Total sample (N = 748)</t>
  </si>
  <si>
    <t>M</t>
  </si>
  <si>
    <t>SD</t>
  </si>
  <si>
    <t>Cronbach's α</t>
  </si>
  <si>
    <t>N-DIF</t>
  </si>
  <si>
    <t>P-DIF</t>
  </si>
  <si>
    <t>N-DDF</t>
  </si>
  <si>
    <t>P-DDF</t>
  </si>
  <si>
    <t>G-EOT</t>
  </si>
  <si>
    <t>G-DIF</t>
  </si>
  <si>
    <t>G-DDF</t>
  </si>
  <si>
    <t>N-DAF</t>
  </si>
  <si>
    <t>P-DAF</t>
  </si>
  <si>
    <t>G-DAF</t>
  </si>
  <si>
    <t>Total scale</t>
  </si>
  <si>
    <t>Negative-Controlling experience</t>
  </si>
  <si>
    <t>Negative-Inhibiting behavior</t>
  </si>
  <si>
    <t>Negative-Activating behavior</t>
  </si>
  <si>
    <t>Negative-Tolerating emotions</t>
  </si>
  <si>
    <t>Positive-Controlling experience</t>
  </si>
  <si>
    <t>Positive-Inhibiting behavior</t>
  </si>
  <si>
    <t>Positive-Activating behavior</t>
  </si>
  <si>
    <t>Positive-Tolerating emotions</t>
  </si>
  <si>
    <t>Negative-Emotion regulation</t>
  </si>
  <si>
    <t>Positive-Emotion regulation</t>
  </si>
  <si>
    <t>General-Facilitating hedonic goals</t>
  </si>
  <si>
    <t>Positive-Containing emotions</t>
  </si>
  <si>
    <t>General-Emotion regulation</t>
  </si>
  <si>
    <t>Difficulties controlling (down-regulating) the experiential manifestations of negative emotions.</t>
  </si>
  <si>
    <t>Difficulties controlling the behavioral manifestations of negative emotions in terms of inhibiting dominant behavioral response tendencies when experiencing negative emotions.</t>
  </si>
  <si>
    <t>Difficulties controlling the behavioral manifestations of negative emotions in terms of activating non-dominant behavioral response tendencies when experiencing negative emotions.</t>
  </si>
  <si>
    <t>Difficulties tolerating negative emotions, and therefore difficulty knowing when it is appropriate to activate a goal to regulate these emotions.</t>
  </si>
  <si>
    <t>Difficulties controlling (up-regulating) the experiential manifestations of positive emotions.</t>
  </si>
  <si>
    <t>Difficulties controlling the behavioral manifestations of positive emotions in terms of inhibiting dominant behavioral response tendencies when experiencing positive emotions.</t>
  </si>
  <si>
    <t>Difficulties controlling the behavioral manifestations of positive emotions in terms of activating non-dominant behavioral response tendencies when experiencing positive emotions.</t>
  </si>
  <si>
    <t>Difficulties tolerating positive emotions, and hence difficulty knowing when it is appropriate to activate a goal to regulate these emotions.</t>
  </si>
  <si>
    <t>Overall level of difficulty regulating negative emotions.</t>
  </si>
  <si>
    <t>Overall level of difficulty regulating positive emotions.</t>
  </si>
  <si>
    <t>Overall level of difficulty down-regulating negative emotions and up-regulating positive emotions (i.e., obtaining pleasure and avoiding pain).</t>
  </si>
  <si>
    <t>Overall level of difficulty down-regulating (i.e., containing) positive emotions.</t>
  </si>
  <si>
    <t>Overall level of difficulty regulating negative and positive emotions.</t>
  </si>
  <si>
    <t>Negative-Activation</t>
  </si>
  <si>
    <t>Negative-Intensity</t>
  </si>
  <si>
    <t>Negative-Duration</t>
  </si>
  <si>
    <t>Positive-Activation</t>
  </si>
  <si>
    <t>Positive-Intensity</t>
  </si>
  <si>
    <t>Positive-Duration</t>
  </si>
  <si>
    <t>General negative reactivity</t>
  </si>
  <si>
    <t>General positive reactivity</t>
  </si>
  <si>
    <t>The ease/speed of activation of one’s negative emotions.</t>
  </si>
  <si>
    <t>The intensity of one’s negative emotions.</t>
  </si>
  <si>
    <t>The duration of one’s negative emotions.</t>
  </si>
  <si>
    <t>The ease/speed of activation of one’s positive emotions.</t>
  </si>
  <si>
    <t>The intensity of one’s positive emotions.</t>
  </si>
  <si>
    <t>The duration of one’s positive emotions.</t>
  </si>
  <si>
    <t>Overall level of reactivity (ease of activation, intensity, and duration) of one’s negative emotions.</t>
  </si>
  <si>
    <t>Overall level of reactivity (ease of activation, intensity, and duration) of one’s positive emotions.</t>
  </si>
  <si>
    <t>Negative-Controllability</t>
  </si>
  <si>
    <t>Positive-Controllability</t>
  </si>
  <si>
    <t>Negative-Usefulness</t>
  </si>
  <si>
    <t>Positive-Usefulness</t>
  </si>
  <si>
    <t>General-Controllability</t>
  </si>
  <si>
    <t>General-Usefulness</t>
  </si>
  <si>
    <t>Beliefs about how uncontrollable negative emotions are.</t>
  </si>
  <si>
    <t>Beliefs about how uncontrollable positive emotions are.</t>
  </si>
  <si>
    <t>Beliefs about how useless (e.g., undesirable, unimportant, or harmful) negative emotions are.</t>
  </si>
  <si>
    <t>Beliefs about how useless (e.g., undesirable, unimportant, or harmful) positive emotions are.</t>
  </si>
  <si>
    <t>Beliefs about how uncontrollable negative and positive emotions are.</t>
  </si>
  <si>
    <t>Beliefs about how useless (e.g., undesirable, unimportant, or harmful) negative and positive emotions are.</t>
  </si>
  <si>
    <t>Overall marker of maladaptive beliefs about emotions; composite of beliefs about how uncontrollable and useless negative and positive emotions are.</t>
  </si>
  <si>
    <t>Total sample (N = 1175)</t>
  </si>
  <si>
    <t>Total sample (N = 428)</t>
  </si>
  <si>
    <t>Range</t>
  </si>
  <si>
    <t>Total sample (N = 161)</t>
  </si>
  <si>
    <t>TOT</t>
  </si>
  <si>
    <t>Negative-Difficulty identifying feelings</t>
  </si>
  <si>
    <t>Positive-Difficulty identifying feelings</t>
  </si>
  <si>
    <t>Negative-Difficulty describing feelings</t>
  </si>
  <si>
    <t>Positive-Difficulty describing feelings</t>
  </si>
  <si>
    <t>General-Externally orientated thinking</t>
  </si>
  <si>
    <t>General-Difficulty identifying feelings</t>
  </si>
  <si>
    <t>General-Difficulty describing feelings</t>
  </si>
  <si>
    <t>Negative-Difficulty appraising feelings</t>
  </si>
  <si>
    <t>Positive-Difficulty appraising feelings</t>
  </si>
  <si>
    <t>General-Difficulty appraising feelings</t>
  </si>
  <si>
    <t>Higher scores indicate a higher level of difficulties (higher alexithymia)</t>
  </si>
  <si>
    <t>Interpretation notes</t>
  </si>
  <si>
    <t>Low = low level of difficulties (low alexithymia)</t>
  </si>
  <si>
    <t>Average = average level of difficulties (average alexithymia)</t>
  </si>
  <si>
    <t>High = high level of difficulties (high alexithymia)</t>
  </si>
  <si>
    <t>Higher scores indicate a higher level of emotion regulation difficulties (i.e., lower emotion regulation ability)</t>
  </si>
  <si>
    <t>Low = low level of difficulties (high emotion regulation ability)</t>
  </si>
  <si>
    <t>Average = average level of difficulties (average emotion regulation ability)</t>
  </si>
  <si>
    <t>Higher scores indicate a higher level of reactivity (e.g., more easily activated, more intense, and more prolonged emotions).</t>
  </si>
  <si>
    <t>Higher scores indicate stronger beliefs that emotions are uncontrollable and useless.</t>
  </si>
  <si>
    <t>High = high level of difficulties (low emotion regulation ability)</t>
  </si>
  <si>
    <t>Higher scores indicate a higher level of reactivity (e.g., more easily activated, more intense, and more prolonged emotions)</t>
  </si>
  <si>
    <t>Higher scores indicate stronger beliefs that emotions are uncontrollable and useless</t>
  </si>
  <si>
    <t>This questionnaire is designed to measure different aspects of how you typically react to experiencing emotional events. Please score the following statements according to how much they apply or do not apply to you on a typical day. 1 = Very unlike me, 5 = Very like me</t>
  </si>
  <si>
    <t>Instructions</t>
  </si>
  <si>
    <t>This questionnaire asks about how you perceive and experience your emotions. Please score the following statements according to how much you agree or disagree that the statement is true of you.</t>
  </si>
  <si>
    <t>This questionnaire asks about how you manage and respond to your emotions. Please score the following statements according to how much you agree or disagree that the statement is true of you.</t>
  </si>
  <si>
    <t>This questionnaire asks about your beliefs about emotions in general. Some questions ask about negative emotions (e.g., sadness, fear, and anger). Other questions ask about positive emotions (e.g., happiness, joy, and amusement). For each statement, please rate how much you agree or disagree that the statement is true in general.</t>
  </si>
  <si>
    <t>| 1 = Very unlike me | ---- | 2 = Somewhat unlike me | ---- | 3 = Neither like or unlike me | ---- | 4 = Somewhat like me | ---- | 5 = Very like me |</t>
  </si>
  <si>
    <t>| 1 = Strongly Disagree | ---- | 2 | ---- | 3 | ---- | 4 = Neither agree nor disagree | ---- | 5 | ---- | 6 | ---- | 7 = Strongly Agree |</t>
  </si>
  <si>
    <t>Neg-Exp</t>
  </si>
  <si>
    <t>Neg-Inh</t>
  </si>
  <si>
    <t>Neg-Act</t>
  </si>
  <si>
    <t>Neg-Tol</t>
  </si>
  <si>
    <t>Pos-Exp</t>
  </si>
  <si>
    <t>Pos-Inh</t>
  </si>
  <si>
    <t>Pos-Act</t>
  </si>
  <si>
    <t>Pos-Tol</t>
  </si>
  <si>
    <t>Neg-Reg</t>
  </si>
  <si>
    <t>Pos-Reg</t>
  </si>
  <si>
    <t>Gen-Hed</t>
  </si>
  <si>
    <t>Pos-Con</t>
  </si>
  <si>
    <t>Gen-Reg (Total)</t>
  </si>
  <si>
    <t>Neg-Int</t>
  </si>
  <si>
    <t>Neg-Dur</t>
  </si>
  <si>
    <t>Pos-Int</t>
  </si>
  <si>
    <t>Pos-Dur</t>
  </si>
  <si>
    <t>Neg-Reac</t>
  </si>
  <si>
    <t>Pos-Reac</t>
  </si>
  <si>
    <t>Neg-Con</t>
  </si>
  <si>
    <t>Neg-Use</t>
  </si>
  <si>
    <t>Gen-Con</t>
  </si>
  <si>
    <t>Gen-Use</t>
  </si>
  <si>
    <t>Total</t>
  </si>
  <si>
    <r>
      <t>Preece, D., Becerra, R., Robinson, K., Dandy, J., &amp; Allan, A. (2018a). The psychometric assessment of alexithymia: Development and validation of the Perth Alexithymia Questionnaire. </t>
    </r>
    <r>
      <rPr>
        <i/>
        <sz val="12"/>
        <color theme="1"/>
        <rFont val="Calibri"/>
        <family val="2"/>
        <scheme val="minor"/>
      </rPr>
      <t>Personality and Individual Differences, 132,</t>
    </r>
    <r>
      <rPr>
        <sz val="12"/>
        <color theme="1"/>
        <rFont val="Calibri"/>
        <family val="2"/>
        <scheme val="minor"/>
      </rPr>
      <t xml:space="preserve"> 32-44.</t>
    </r>
  </si>
  <si>
    <r>
      <t>Preece, D. A., Becerra, R., Robinson, K., Dandy, J., &amp; Allan, A. (2018b). Measuring emotion regulation ability across negative and positive emotions: The Perth Emotion Regulation Competency Inventory (PERCI). </t>
    </r>
    <r>
      <rPr>
        <i/>
        <sz val="12"/>
        <color theme="1"/>
        <rFont val="Calibri"/>
        <family val="2"/>
        <scheme val="minor"/>
      </rPr>
      <t>Personality and Individual Differences, 135,</t>
    </r>
    <r>
      <rPr>
        <sz val="12"/>
        <color theme="1"/>
        <rFont val="Calibri"/>
        <family val="2"/>
        <scheme val="minor"/>
      </rPr>
      <t xml:space="preserve"> 229-241.</t>
    </r>
  </si>
  <si>
    <r>
      <t>Preece, D., Becerra, R., &amp; Campitelli, G. (2019). Assessing emotional reactivity: Psychometric properties of the Perth Emotional Reactivity Scale and the development of a short form. </t>
    </r>
    <r>
      <rPr>
        <i/>
        <sz val="12"/>
        <color rgb="FF000000"/>
        <rFont val="Calibri"/>
        <family val="2"/>
        <scheme val="minor"/>
      </rPr>
      <t>Journal of Personality Assessment, 101,</t>
    </r>
    <r>
      <rPr>
        <sz val="12"/>
        <color rgb="FF000000"/>
        <rFont val="Calibri"/>
        <family val="2"/>
        <scheme val="minor"/>
      </rPr>
      <t xml:space="preserve"> 589-597.</t>
    </r>
  </si>
  <si>
    <r>
      <t>Becerra, R., Preece, D. A., &amp; Gross, J. J. (2020). Assessing beliefs about emotions: Development and validation of the Emotion Beliefs Questionnaire. </t>
    </r>
    <r>
      <rPr>
        <i/>
        <sz val="12"/>
        <color rgb="FF000000"/>
        <rFont val="Calibri"/>
        <family val="2"/>
        <scheme val="minor"/>
      </rPr>
      <t>PloS one, 15,</t>
    </r>
    <r>
      <rPr>
        <sz val="12"/>
        <color rgb="FF000000"/>
        <rFont val="Calibri"/>
        <family val="2"/>
        <scheme val="minor"/>
      </rPr>
      <t xml:space="preserve"> e0231395.</t>
    </r>
  </si>
  <si>
    <t>4-28</t>
  </si>
  <si>
    <t>8-56</t>
  </si>
  <si>
    <t>17-112</t>
  </si>
  <si>
    <t>3-15</t>
  </si>
  <si>
    <t>9-45</t>
  </si>
  <si>
    <t>5-25</t>
  </si>
  <si>
    <t>8-24</t>
  </si>
  <si>
    <t>6-25</t>
  </si>
  <si>
    <t>15-75</t>
  </si>
  <si>
    <t>22-72</t>
  </si>
  <si>
    <t>16-112</t>
  </si>
  <si>
    <t>20-140</t>
  </si>
  <si>
    <t>12-84</t>
  </si>
  <si>
    <t>32-224</t>
  </si>
  <si>
    <t>24-168</t>
  </si>
  <si>
    <t>Normative reference data</t>
  </si>
  <si>
    <t>Descriptive statistics (mean, standard deviation, range) and internal consistency reliability coefficients from adult community samples</t>
  </si>
  <si>
    <t>Low = low level of emotional reactivity</t>
  </si>
  <si>
    <t>Average = average level of emotional reactivity</t>
  </si>
  <si>
    <t>High = high level of emotional reactivity</t>
  </si>
  <si>
    <t>Low = low level of beliefs that emotions are uncontrollable/useless</t>
  </si>
  <si>
    <t>Average = average level of beliefs that emotions are uncontrollable/useless</t>
  </si>
  <si>
    <t>High = high level of beliefs that emotions are uncontrollable/useless</t>
  </si>
  <si>
    <t>Client details</t>
  </si>
  <si>
    <t>Enter below</t>
  </si>
  <si>
    <t>David A. Preece, PhD</t>
  </si>
  <si>
    <t>PERS</t>
  </si>
  <si>
    <t>Download PAQ pdf</t>
  </si>
  <si>
    <t>Download PERCI pdf</t>
  </si>
  <si>
    <t>Download PERS pdf</t>
  </si>
  <si>
    <t>Perth Emotional Reactivity Scale-Short Form (PERS-S; Preece et al., 2019)</t>
  </si>
  <si>
    <t>Download PERS-S pdf</t>
  </si>
  <si>
    <t>Download EBQ pdf</t>
  </si>
  <si>
    <t>Description</t>
  </si>
  <si>
    <t>Emotion Regulation Questionnaire (ERQ)</t>
  </si>
  <si>
    <t>Total sample (N = 300)</t>
  </si>
  <si>
    <t>Cognitive reappraisal</t>
  </si>
  <si>
    <t>Expressive suppression</t>
  </si>
  <si>
    <r>
      <t xml:space="preserve">Preece, D. A., Becerra, R., Robinson, K., &amp; Gross, J. J. (2020). The emotion regulation questionnaire: psychometric properties in general community samples. </t>
    </r>
    <r>
      <rPr>
        <i/>
        <sz val="12"/>
        <color rgb="FF000000"/>
        <rFont val="Calibri"/>
        <family val="2"/>
        <scheme val="minor"/>
      </rPr>
      <t>Journal of Personality Assessment</t>
    </r>
    <r>
      <rPr>
        <sz val="12"/>
        <color rgb="FF000000"/>
        <rFont val="Calibri"/>
        <family val="2"/>
        <scheme val="minor"/>
      </rPr>
      <t>, 102, 348-356</t>
    </r>
  </si>
  <si>
    <t>The Personality Inventory for DSM-5 (PID-5)</t>
  </si>
  <si>
    <t>Primary Personality Domains</t>
  </si>
  <si>
    <t>Negative affect</t>
  </si>
  <si>
    <t>Detachment</t>
  </si>
  <si>
    <t>Antagonism</t>
  </si>
  <si>
    <t>Disinhibition</t>
  </si>
  <si>
    <t>Psychoticism</t>
  </si>
  <si>
    <t>Total sample</t>
  </si>
  <si>
    <t>Anhedonia</t>
  </si>
  <si>
    <t>Anxiousness</t>
  </si>
  <si>
    <t>Attention seeking</t>
  </si>
  <si>
    <t>Calousness</t>
  </si>
  <si>
    <t>Deceitfulness</t>
  </si>
  <si>
    <t>Depressivity</t>
  </si>
  <si>
    <t>Distractibility</t>
  </si>
  <si>
    <t>Eccentricity</t>
  </si>
  <si>
    <t>Grandiosity</t>
  </si>
  <si>
    <t>Hostility</t>
  </si>
  <si>
    <t>Impulsivity</t>
  </si>
  <si>
    <t>Irresponsibility</t>
  </si>
  <si>
    <t>Manipulativeness</t>
  </si>
  <si>
    <t>Perseveration</t>
  </si>
  <si>
    <t>Submissiveness</t>
  </si>
  <si>
    <t>Suspiciousness</t>
  </si>
  <si>
    <t>Withdrawal</t>
  </si>
  <si>
    <t>When I want to feel more positive emotion (such as joy or amusement), I change what I’m thinking about.</t>
  </si>
  <si>
    <t xml:space="preserve">I keep my emotions to myself. </t>
  </si>
  <si>
    <t>When I want to feel less negative emotion (such as sadness or anger), I change what I’m thinking about.</t>
  </si>
  <si>
    <t>When I am feeling positive emotions, I am careful not to express them.</t>
  </si>
  <si>
    <t>When I’m faced with a stressful situation, I make myself think about it in a way that helps me stay calm.</t>
  </si>
  <si>
    <t>I control my emotions by not expressing them.</t>
  </si>
  <si>
    <t>When I want to feel more positive emotion, I change the way I’m thinking about the situation.</t>
  </si>
  <si>
    <t>I control my emotions by changing the way I think about the situation I’m in.</t>
  </si>
  <si>
    <t>When I am feeling negative emotions, I make sure not to express them.</t>
  </si>
  <si>
    <t>When I want to feel less negative emotion, I change the way I’m thinking about the situation.</t>
  </si>
  <si>
    <t>Changing the way one is thinking, to change emotional impact</t>
  </si>
  <si>
    <t>Supressing behavioural expression of an emotion</t>
  </si>
  <si>
    <t>PERS_S</t>
  </si>
  <si>
    <t>ERQ</t>
  </si>
  <si>
    <t>DASS_21</t>
  </si>
  <si>
    <t>Depression Anxiety Stress Scales-21 (DASS-21)</t>
  </si>
  <si>
    <t>Please read each statement and circle a number 0, 1, 2 or 3 which indicates how much the statement applied to you over the past week. There are no right or wrong answers. Do not spend too much time on any statement.
The rating scale is as follows:</t>
  </si>
  <si>
    <t>| 0 = Never | ---- | 1 = Sometimes | ---- | 2 = Often | ---- | 3 = Almost always |</t>
  </si>
  <si>
    <t>Higher scores indicate more severe or frequent symptoms</t>
  </si>
  <si>
    <t>Depression</t>
  </si>
  <si>
    <t>Anxiety</t>
  </si>
  <si>
    <t>Stress</t>
  </si>
  <si>
    <t>DSM_5</t>
  </si>
  <si>
    <t>The questions below ask about things that might have bothered you. For each question, circle the number that best describes how much (or how often) you have been bothered by each problem during the past TWO (2) WEEKS. The rating scale is as follows:</t>
  </si>
  <si>
    <t>| 0 = None, not at all| 1 = Slight, rare, less than a day or two |2 = Mild, Several days | 3 = Moderate, More than half the days | 4 = Severe, Nearly every day |</t>
  </si>
  <si>
    <t>Little interest or pleasure in doing things?</t>
  </si>
  <si>
    <t>Feeling down, depressed, or hopeless?</t>
  </si>
  <si>
    <t>Feeling more irritated, grouchy, or angry than usual?</t>
  </si>
  <si>
    <t>Sleeping less than usual, but still have a lot of energy?</t>
  </si>
  <si>
    <t>Starting lots more projects than usual or doing more risky things than usual?</t>
  </si>
  <si>
    <t>Feeling nervous, anxious, frightened, worried, or on edge?</t>
  </si>
  <si>
    <t>Feeling panic or being frightened?</t>
  </si>
  <si>
    <t>Avoiding situations that make you anxious?</t>
  </si>
  <si>
    <t>Unexplained aches and pains (e.g., head, back, joints, abdomen, legs)?</t>
  </si>
  <si>
    <t>Feeling that your illnesses are not being taken seriously enough?</t>
  </si>
  <si>
    <t>Thoughts of actually hurting yourself?</t>
  </si>
  <si>
    <t>Hearing things other people couldn’t hear, such as voices even when no one was around?</t>
  </si>
  <si>
    <t>Feeling that someone could hear your thoughts, or that you could hear what another person was thinking?</t>
  </si>
  <si>
    <t>Problems with sleep that affected your sleep quality over all?</t>
  </si>
  <si>
    <t>Problems with memory (e.g., learning new information) or with location (e.g., finding your way home)?</t>
  </si>
  <si>
    <t>Unpleasant thoughts, urges, or images that repeatedly enter your mind?</t>
  </si>
  <si>
    <t>Feeling driven to perform certain behaviors or mental acts over and over again?</t>
  </si>
  <si>
    <t>Feeling detached or distant from yourself, your body, your physical surroundings, or your memories?</t>
  </si>
  <si>
    <t>Not knowing who you really are or what you want out of life?</t>
  </si>
  <si>
    <t>Not feeling close to other people or enjoying your relationships with them?</t>
  </si>
  <si>
    <t>Drinking at least 4 drinks of any kind of alcohol in a single day?</t>
  </si>
  <si>
    <t>Smoking any cigarettes, a cigar, or pipe, or using snuff or chewing tobacco?</t>
  </si>
  <si>
    <t>Using any of the following medicines ON YOUR OWN, that is, without a doctor’s prescription, in greater amounts or longer than prescribed [e.g., painkillers (like Vicodin), stimulants (like Ritalin or Adderall), sedatives or tranquilizers (like sleeping pills or Valium), or drugs like marijuana, cocaine or crack, club drugs (like ecstasy), hallucinogens (like LSD), heroin, inhalants or solvents (like glue), or methamphetamine (like speed)]?</t>
  </si>
  <si>
    <t>0 = None</t>
  </si>
  <si>
    <t>1 = Slight</t>
  </si>
  <si>
    <t>2 = Mild</t>
  </si>
  <si>
    <t>3 = Moderate</t>
  </si>
  <si>
    <t>4 = Severe</t>
  </si>
  <si>
    <t>Anger</t>
  </si>
  <si>
    <t>Mania</t>
  </si>
  <si>
    <t>Somatic symptoms</t>
  </si>
  <si>
    <t>Suicidal ideation</t>
  </si>
  <si>
    <t>Psychosis</t>
  </si>
  <si>
    <t>Sleep problems</t>
  </si>
  <si>
    <t>Memory</t>
  </si>
  <si>
    <t>Dissociation</t>
  </si>
  <si>
    <t>Personality functioning</t>
  </si>
  <si>
    <t>Substance use</t>
  </si>
  <si>
    <t>PID_5</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</si>
  <si>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t>
  </si>
  <si>
    <t>The Personality Inventory for DSM–5 (PID-5)</t>
  </si>
  <si>
    <t>Cog-Reap</t>
  </si>
  <si>
    <t>Exp-Sup</t>
  </si>
  <si>
    <t>DASS-21</t>
  </si>
  <si>
    <t>DSM-5</t>
  </si>
  <si>
    <t>PID-5</t>
  </si>
  <si>
    <t>Reversed scores</t>
  </si>
  <si>
    <t>I don’t get as much pleasure out of things as others seem to. </t>
  </si>
  <si>
    <t>Plenty of people are out to get me. </t>
  </si>
  <si>
    <t>People would describe me as reckless. </t>
  </si>
  <si>
    <t>I feel like I act totally on impulse. </t>
  </si>
  <si>
    <t>I often have ideas that are too unusual to explain to anyone. </t>
  </si>
  <si>
    <t>I lose track of conversations because other things catch my attention. </t>
  </si>
  <si>
    <t>I avoid risky situations. </t>
  </si>
  <si>
    <t>When it comes to my emotions, people tell me I’m a “cold fish”. </t>
  </si>
  <si>
    <t>I change what I do depending on what others want. </t>
  </si>
  <si>
    <t>I prefer not to get too close to people. </t>
  </si>
  <si>
    <t>I often get into physical fights. </t>
  </si>
  <si>
    <t>I dread being without someone to love me. </t>
  </si>
  <si>
    <t>Being rude and unfriendly is just a part of who I am. </t>
  </si>
  <si>
    <t>I do things to make sure people notice me. </t>
  </si>
  <si>
    <t>I usually do what others think I should do. </t>
  </si>
  <si>
    <t>I usually do things on impulse without thinking about what might happen as a result. </t>
  </si>
  <si>
    <t>Even though I know better, I can’t stop making rash decisions. </t>
  </si>
  <si>
    <t>My emotions sometimes change for no good reason. </t>
  </si>
  <si>
    <t>I really don’t care if I make other people suffer. </t>
  </si>
  <si>
    <t>I keep to myself. </t>
  </si>
  <si>
    <t>I often say things that others find odd or strange. </t>
  </si>
  <si>
    <t>I always do things on the spur of the moment. </t>
  </si>
  <si>
    <t>Nothing seems to interest me very much. </t>
  </si>
  <si>
    <t>Other people seem to think my behavior is weird. </t>
  </si>
  <si>
    <t>People have told me that I think about things in a really strange way. </t>
  </si>
  <si>
    <t>I almost never enjoy life. </t>
  </si>
  <si>
    <t>I often feel like nothing I do really matters. </t>
  </si>
  <si>
    <t>I snap at people when they do little things that irritate me. </t>
  </si>
  <si>
    <t>I can’t concentrate on anything. </t>
  </si>
  <si>
    <t>I’m an energetic person. </t>
  </si>
  <si>
    <t>Others see me as irresponsible. </t>
  </si>
  <si>
    <t>I can be mean when I need to be. </t>
  </si>
  <si>
    <t>My thoughts often go off in odd or unusual directions. </t>
  </si>
  <si>
    <t>I’ve been told that I spend too much time making sure things are exactly in place. </t>
  </si>
  <si>
    <t>I avoid risky sports and activities. </t>
  </si>
  <si>
    <t>I can have trouble telling the difference between dreams and waking life. </t>
  </si>
  <si>
    <t>Sometimes I get this weird feeling that parts of my body feel like they’re dead or not really me. </t>
  </si>
  <si>
    <t>I am easily angered. </t>
  </si>
  <si>
    <t>I have no limits when it comes to doing dangerous things. </t>
  </si>
  <si>
    <t>To be honest, I’m just more important than other people. </t>
  </si>
  <si>
    <t>I make up stories about things that happened that are totally untrue. </t>
  </si>
  <si>
    <t>People often talk about me doing things I don’t remember at all. </t>
  </si>
  <si>
    <t>I do things so that people just have to admire me. </t>
  </si>
  <si>
    <t>It’s weird, but sometimes ordinary objects seem to be a different shape than usual. </t>
  </si>
  <si>
    <t>I don’t have very long-lasting emotional reactions to things. </t>
  </si>
  <si>
    <t>It is hard for me to stop an activity, even when it’s time to do so. </t>
  </si>
  <si>
    <t>I’m not good at planning ahead. </t>
  </si>
  <si>
    <t>I do a lot of things that others consider risky. </t>
  </si>
  <si>
    <t>People tell me that I focus too much on minor details. </t>
  </si>
  <si>
    <t>I worry a lot about being alone. </t>
  </si>
  <si>
    <t>I’ve missed out on things because I was busy trying to get something I was doing exactly right. </t>
  </si>
  <si>
    <t>My thoughts often don’t make sense to others. </t>
  </si>
  <si>
    <t>I often make up things about myself to help me get what I want. </t>
  </si>
  <si>
    <t>It doesn’t really bother me to see other people get hurt. </t>
  </si>
  <si>
    <t>People often look at me as if I’d said something really weird. </t>
  </si>
  <si>
    <t>People don’t realize that I’m flattering them to get something. </t>
  </si>
  <si>
    <t>I’d rather be in a bad relationship than be alone. </t>
  </si>
  <si>
    <t>I usually think before I act. </t>
  </si>
  <si>
    <t>I often see vivid dream-like images when I’m falling asleep or waking up. </t>
  </si>
  <si>
    <t>I keep approaching things the same way, even when it isn’t working. </t>
  </si>
  <si>
    <t>I’m very dissatisfied with myself. </t>
  </si>
  <si>
    <t>I have much stronger emotional reactions than almost everyone else. </t>
  </si>
  <si>
    <t>I do what other people tell me to do. </t>
  </si>
  <si>
    <t>I can’t stand being left alone, even for a few hours. </t>
  </si>
  <si>
    <t>I have outstanding qualities that few others possess. </t>
  </si>
  <si>
    <t>The future looks really hopeless to me. </t>
  </si>
  <si>
    <t>I like to take risks. </t>
  </si>
  <si>
    <t>I can’t achieve goals because other things capture my attention. </t>
  </si>
  <si>
    <t>When I want to do something, I don’t let the possibility that it might be risky stop me. </t>
  </si>
  <si>
    <t>Others seem to think I’m quite odd or unusual. </t>
  </si>
  <si>
    <t>My thoughts are strange and unpredictable. </t>
  </si>
  <si>
    <t>I don’t care about other people’s feelings. </t>
  </si>
  <si>
    <t>You need to step on some toes to get what you want in life. </t>
  </si>
  <si>
    <t>I love getting the attention of other people. </t>
  </si>
  <si>
    <t>I go out of my way to avoid any kind of group activity. </t>
  </si>
  <si>
    <t>I can be sneaky if it means getting what I want. </t>
  </si>
  <si>
    <t>Sometimes when I look at a familiar object, it’s somehow like I’m seeing it for the first time. </t>
  </si>
  <si>
    <t>It is hard for me to shift from one activity to another. </t>
  </si>
  <si>
    <t>I worry a lot about terrible things that might happen. </t>
  </si>
  <si>
    <t>I have trouble changing how I’m doing something even if what I’m doing isn’t going well. </t>
  </si>
  <si>
    <t>The world would be better off if I were dead. </t>
  </si>
  <si>
    <t>I keep my distance from people. </t>
  </si>
  <si>
    <t>I often can’t control what I think about. </t>
  </si>
  <si>
    <t>I don’t get emotional. </t>
  </si>
  <si>
    <t>I resent being told what to do, even by people in charge. </t>
  </si>
  <si>
    <t>I’m so ashamed by how I’ve let people down in lots of little ways. </t>
  </si>
  <si>
    <t>I avoid anything that might be even a little bit dangerous. </t>
  </si>
  <si>
    <t>I have trouble pursuing specific goals even for short periods of time. </t>
  </si>
  <si>
    <t>I prefer to keep romance out of my life. </t>
  </si>
  <si>
    <t>I would never harm another person. </t>
  </si>
  <si>
    <t>I don’t show emotions strongly. </t>
  </si>
  <si>
    <t>I have a very short temper. </t>
  </si>
  <si>
    <t>I often worry that something bad will happen due to mistakes I made in the past. </t>
  </si>
  <si>
    <t>I have some unusual abilities, like sometimes knowing exactly what someone is thinking. </t>
  </si>
  <si>
    <t>I get very nervous when I think about the future. </t>
  </si>
  <si>
    <t>I rarely worry about things. </t>
  </si>
  <si>
    <t>I enjoy being in love. </t>
  </si>
  <si>
    <t>I prefer to play it safe rather than take unnecessary chances. </t>
  </si>
  <si>
    <t>I sometimes have heard things that others couldn’t hear. </t>
  </si>
  <si>
    <t>I get fixated on certain things and can’t stop. </t>
  </si>
  <si>
    <t>People tell me it’s difficult to know what I’m feeling. </t>
  </si>
  <si>
    <t>I am a highly emotional person. </t>
  </si>
  <si>
    <t>Others would take advantage of me if they could. </t>
  </si>
  <si>
    <t>I often feel like a failure. </t>
  </si>
  <si>
    <t>If something I do isn’t absolutely perfect, it’s simply not acceptable. </t>
  </si>
  <si>
    <t>I often have unusual experiences, such as sensing the presence of someone who isn’t actually there. </t>
  </si>
  <si>
    <t>I’m good at making people do what I want them to do. </t>
  </si>
  <si>
    <t>I break off relationships if they start to get close. </t>
  </si>
  <si>
    <t>I’m always worrying about something. </t>
  </si>
  <si>
    <t>I worry about almost everything. </t>
  </si>
  <si>
    <t>I like standing out in a crowd. </t>
  </si>
  <si>
    <t>I don’t mind a little risk now and then. </t>
  </si>
  <si>
    <t>My behavior is often bold and grabs peoples’ attention. </t>
  </si>
  <si>
    <t>I’m better than almost everyone else. </t>
  </si>
  <si>
    <t>People complain about my need to have everything all arranged. </t>
  </si>
  <si>
    <t>I always make sure I get back at people who wrong me. </t>
  </si>
  <si>
    <t>I’m always on my guard for someone trying to trick or harm me. </t>
  </si>
  <si>
    <t>I have trouble keeping my mind focused on what needs to be done. </t>
  </si>
  <si>
    <t>I talk about suicide a lot. </t>
  </si>
  <si>
    <t>I’m just not very interested in having sexual relationships. </t>
  </si>
  <si>
    <t>I get stuck on things a lot. </t>
  </si>
  <si>
    <t>I get emotional easily, often for very little reason. </t>
  </si>
  <si>
    <t>Even though it drives other people crazy, I insist on absolute perfection in everything I do. </t>
  </si>
  <si>
    <t>I almost never feel happy about my day-to-day activities. </t>
  </si>
  <si>
    <t>Sweet-talking others helps me get what I want. </t>
  </si>
  <si>
    <t>Sometimes you need to exaggerate to get ahead. </t>
  </si>
  <si>
    <t>I fear being alone in life more than anything else. </t>
  </si>
  <si>
    <t>I get stuck on one way of doing things, even when it’s clear it won’t work. </t>
  </si>
  <si>
    <t>I’m often pretty careless with my own and others’ things. </t>
  </si>
  <si>
    <t>I am a very anxious person. </t>
  </si>
  <si>
    <t>People are basically trustworthy. </t>
  </si>
  <si>
    <t>I am easily distracted. </t>
  </si>
  <si>
    <t>It seems like I’m always getting a “raw deal” from others. </t>
  </si>
  <si>
    <t>I don’t hesitate to cheat if it gets me ahead. </t>
  </si>
  <si>
    <t>I check things several times to make sure they are perfect. </t>
  </si>
  <si>
    <t>I don’t like spending time with others. </t>
  </si>
  <si>
    <t>I feel compelled to go on with things even when it makes little sense to do so. </t>
  </si>
  <si>
    <t>I never know where my emotions will go from moment to moment. </t>
  </si>
  <si>
    <t>I have seen things that weren’t really there. </t>
  </si>
  <si>
    <t>It is important to me that things are done in a certain way. </t>
  </si>
  <si>
    <t>I always expect the worst to happen. </t>
  </si>
  <si>
    <t>I try to tell the truth even when it’s hard. </t>
  </si>
  <si>
    <t>I believe that some people can move things with their minds. </t>
  </si>
  <si>
    <t>I can’t focus on things for very long. </t>
  </si>
  <si>
    <t>I steer clear of romantic relationships. </t>
  </si>
  <si>
    <t>I’m not interested in making friends. </t>
  </si>
  <si>
    <t>I say as little as possible when dealing with people. </t>
  </si>
  <si>
    <t>I’m useless as a person. </t>
  </si>
  <si>
    <t>I’ll do just about anything to keep someone from abandoning me. </t>
  </si>
  <si>
    <t>Sometimes I can influence other people just by sending my thoughts to them. </t>
  </si>
  <si>
    <t>Life looks pretty bleak to me. </t>
  </si>
  <si>
    <t>I think about things in odd ways that don’t make sense to most people. </t>
  </si>
  <si>
    <t>I don’t care if my actions hurt others. </t>
  </si>
  <si>
    <t>Sometimes I feel “controlled” by thoughts that belong to someone else. </t>
  </si>
  <si>
    <t>I really live life to the fullest. </t>
  </si>
  <si>
    <t>I make promises that I don’t really intend to keep. </t>
  </si>
  <si>
    <t>Nothing seems to make me feel good. </t>
  </si>
  <si>
    <t>I get irritated easily by all sorts of things. </t>
  </si>
  <si>
    <t>I do what I want regardless of how unsafe it might be. </t>
  </si>
  <si>
    <t>I often forget to pay my bills. </t>
  </si>
  <si>
    <t>I don’t like to get too close to people. </t>
  </si>
  <si>
    <t>I’m good at conning people. </t>
  </si>
  <si>
    <t>Everything seems pointless to me. </t>
  </si>
  <si>
    <t>I never take risks. </t>
  </si>
  <si>
    <t>I get emotional over every little thing. </t>
  </si>
  <si>
    <t>It’s no big deal if I hurt other peoples’ feelings. </t>
  </si>
  <si>
    <t>I never show emotions to others. </t>
  </si>
  <si>
    <t>I often feel just miserable. </t>
  </si>
  <si>
    <t>I have no worth as a person. </t>
  </si>
  <si>
    <t>I am usually pretty hostile. </t>
  </si>
  <si>
    <t>I’ve skipped town to avoid responsibilities. </t>
  </si>
  <si>
    <t>I’ve been told more than once that I have a number of odd quirks or habits. </t>
  </si>
  <si>
    <t>I like being a person who gets noticed. </t>
  </si>
  <si>
    <t>I’m always fearful or on edge about bad things that might happen. </t>
  </si>
  <si>
    <t>I never want to be alone. </t>
  </si>
  <si>
    <t>I keep trying to make things perfect, even when I’ve gotten them as good as they’re likely to get. </t>
  </si>
  <si>
    <t>I rarely feel that people I know are trying to take advantage of me. </t>
  </si>
  <si>
    <t>I know I’ll commit suicide sooner or later. </t>
  </si>
  <si>
    <t>I’ve achieved far more than almost anyone I know. </t>
  </si>
  <si>
    <t>I can certainly turn on the charm if I need to get my way. </t>
  </si>
  <si>
    <t>My emotions are unpredictable. </t>
  </si>
  <si>
    <t>I don’t deal with people unless I have to. </t>
  </si>
  <si>
    <t>I don’t care about other peoples’ problems. </t>
  </si>
  <si>
    <t>I don’t react much to things that seem to make others emotional. </t>
  </si>
  <si>
    <t>I have several habits that others find eccentric or strange. </t>
  </si>
  <si>
    <t>I avoid social events. </t>
  </si>
  <si>
    <t>I deserve special treatment. </t>
  </si>
  <si>
    <t>It makes me really angry when people insult me in even a minor way. </t>
  </si>
  <si>
    <t>I rarely get enthusiastic about anything. </t>
  </si>
  <si>
    <t>I suspect that even my so-called “friends” betray me a lot. </t>
  </si>
  <si>
    <t>I crave attention. </t>
  </si>
  <si>
    <t>Sometimes I think someone else is removing thoughts from my head. </t>
  </si>
  <si>
    <t>I have periods in which I feel disconnected from the world or from myself. </t>
  </si>
  <si>
    <t>I often see unusual connections between things that most people miss. </t>
  </si>
  <si>
    <t>I don’t think about getting hurt when I’m doing things that might be dangerous. </t>
  </si>
  <si>
    <t>I simply won’t put up with things being out of their proper places. </t>
  </si>
  <si>
    <t>I often have to deal with people who are less important than me. </t>
  </si>
  <si>
    <t>I sometimes hit people to remind them who’s in charge </t>
  </si>
  <si>
    <t>I get pulled off-task by even minor distractions. </t>
  </si>
  <si>
    <t>I enjoy making people in control look stupid. </t>
  </si>
  <si>
    <t>I just skip appointments or meetings if I’m not in the mood. </t>
  </si>
  <si>
    <t>I try to do what others want me to do. </t>
  </si>
  <si>
    <t>I prefer being alone to having a close romantic partner. </t>
  </si>
  <si>
    <t>I am very impulsive. </t>
  </si>
  <si>
    <t>I often have thoughts that make sense to me but that other people say are strange. </t>
  </si>
  <si>
    <t>I use people to get what I want. </t>
  </si>
  <si>
    <t>I don’t see the point in feeling guilty about things I’ve done that have hurt other people. </t>
  </si>
  <si>
    <t>Most of the time I don’t see the point in being friendly. </t>
  </si>
  <si>
    <t>I’ve had some really weird experiences that are very difficult to explain. </t>
  </si>
  <si>
    <t>I follow through on commitments. </t>
  </si>
  <si>
    <t>I like to draw attention to myself. </t>
  </si>
  <si>
    <t>I feel guilty much of the time. </t>
  </si>
  <si>
    <t>I often “zone out” and then suddenly come to and realize that a lot of time has passed. </t>
  </si>
  <si>
    <t>Lying comes easily to me. </t>
  </si>
  <si>
    <t>I hate to take chances. </t>
  </si>
  <si>
    <t>I’m nasty and short to anybody who deserves it. </t>
  </si>
  <si>
    <t>Things around me often feel unreal, or more real than usual. </t>
  </si>
  <si>
    <t>I’ll stretch the truth if it’s to my advantage. </t>
  </si>
  <si>
    <t>It is easy for me to take advantage of others. </t>
  </si>
  <si>
    <t>I have a strict way of doing things. </t>
  </si>
  <si>
    <t>| 0 = Very False or Often False | ---- | 1 = Sometimes or Somewhat False | ---- | 2 = Sometimes or Somewhat True | ---- | 3 = Very True or Often True |</t>
  </si>
  <si>
    <t>Negative Affect</t>
  </si>
  <si>
    <t>Repetitive thoughts &amp; behaviours</t>
  </si>
  <si>
    <t>Emotion Regulation Questionnaire (ERQ; Gross &amp; John, 2003)</t>
  </si>
  <si>
    <t>Depression Anxiety Stress Scales-21 (DASS-21; Lovibond &amp; Lovibond, 1995)</t>
  </si>
  <si>
    <t>I found it hard to wind down</t>
  </si>
  <si>
    <t>I was aware of dryness of my mouth</t>
  </si>
  <si>
    <t>I couldn't seem to experience any positive feeling at all</t>
  </si>
  <si>
    <t>I found it difficult to work up the initiative to do things</t>
  </si>
  <si>
    <t>I tended to over-react to situations</t>
  </si>
  <si>
    <t>I experienced trembling (e.g., in the hands)</t>
  </si>
  <si>
    <t>I felt that I was using a lot of nervous energy</t>
  </si>
  <si>
    <t>I was worried about situations in which I might panic and make a fool of myself</t>
  </si>
  <si>
    <t>I felt that I had nothing to look forward to</t>
  </si>
  <si>
    <t>I found myself getting agitated</t>
  </si>
  <si>
    <t>I found it difficult to relax</t>
  </si>
  <si>
    <t>I felt down-hearted and blue</t>
  </si>
  <si>
    <t>I was intolerant of anything that kept me from getting on with what I was doing</t>
  </si>
  <si>
    <t>I felt I was close to panic</t>
  </si>
  <si>
    <t>I was unable to become enthusiastic about anything</t>
  </si>
  <si>
    <t>I felt I wasn't worth much as a person</t>
  </si>
  <si>
    <t>I felt that I was rather touchy</t>
  </si>
  <si>
    <t>I felt scared without any good reason</t>
  </si>
  <si>
    <t>I felt that life was meaningless</t>
  </si>
  <si>
    <t>Kessler Psychological Distress Scale (K10)</t>
  </si>
  <si>
    <t>For all questions, please select the appropriate response.</t>
  </si>
  <si>
    <t>| 1 = None of the time | ---- | 2 = A little of the time | ---- | 3 = Some of the time | ---- | 4 = Most of the time | ---- | 5 = All of the time |</t>
  </si>
  <si>
    <t>In the past 4 weeks, about how often did you feel tired out for no good reason?</t>
  </si>
  <si>
    <t>In the past 4 weeks, about how often did you feel nervous?</t>
  </si>
  <si>
    <t>In the past 4 weeks, about how often did you feel so nervous that nothing could calm you down?</t>
  </si>
  <si>
    <t>In the past 4 weeks, about how often did you feel worthless?</t>
  </si>
  <si>
    <t>In the past 4 weeks, about how often did you feel so sad that nothing could cheer you up?</t>
  </si>
  <si>
    <t>In the past 4 weeks, about how often did you feel that everything was an effort?</t>
  </si>
  <si>
    <t>In the past 4 weeks, about how often did you feel depressed?</t>
  </si>
  <si>
    <t>In the past 4 weeks, about how often did you feel so restless you could not sit still?</t>
  </si>
  <si>
    <t>In the past 4 weeks, about how often did you feel restless or fidgety?</t>
  </si>
  <si>
    <t>In the past 4 weeks, about how often did you feel hopeless?</t>
  </si>
  <si>
    <t>K10</t>
  </si>
  <si>
    <t>Patient Health Questionnaire (PHQ-9)</t>
  </si>
  <si>
    <t>PHQ_9</t>
  </si>
  <si>
    <t>GAD_7</t>
  </si>
  <si>
    <t>Over the last two weeks, how often have you been bothered by the following problems?</t>
  </si>
  <si>
    <t>| 0 = Not at all | ---- | 1 = Several days | ---- | 2 = More than half the days | ---- | 3 = Nearly every day |</t>
  </si>
  <si>
    <t>Feeling nervous, anxious, or on edge</t>
  </si>
  <si>
    <t>Not being able to stop or control worrying</t>
  </si>
  <si>
    <t>Worrying too much about different things</t>
  </si>
  <si>
    <t>Trouble relaxing</t>
  </si>
  <si>
    <t>Being so restless that it is hard to sit still</t>
  </si>
  <si>
    <t>Becoming easily annoyed or irritable</t>
  </si>
  <si>
    <t>Feeling afraid, as if something awful might happen</t>
  </si>
  <si>
    <t>Trouble falling or staying asleep, or sleeping too much?</t>
  </si>
  <si>
    <t>Feeling tired or having little energy?</t>
  </si>
  <si>
    <t>Poor appetite or overeating?</t>
  </si>
  <si>
    <t>Feeling bad about yourself - or that you are a failure or have let yourself or your family down?</t>
  </si>
  <si>
    <t>Trouble concentrating on things, such as reading the newspaper or watching television?</t>
  </si>
  <si>
    <t>Thoughts that you would be better off dead, or of hurting yourself in some way?</t>
  </si>
  <si>
    <t>Moving or speaking so slowly that other people could have noticed? Or the opposite - being so fidgety or restless that you have been moving around a lot more than usual?</t>
  </si>
  <si>
    <t>Minimal = 0-4</t>
  </si>
  <si>
    <t>Moderate = 5-9</t>
  </si>
  <si>
    <t>High = 10-14</t>
  </si>
  <si>
    <t>Very High = 15-21</t>
  </si>
  <si>
    <t>Low = 10-15</t>
  </si>
  <si>
    <t>Moderate = 16-21</t>
  </si>
  <si>
    <t>High = 22-29</t>
  </si>
  <si>
    <t>Very High = 30-50</t>
  </si>
  <si>
    <t>None = 0-4</t>
  </si>
  <si>
    <t>Mild = 5-9</t>
  </si>
  <si>
    <t>Moderate = 10-14</t>
  </si>
  <si>
    <t>Moderately Severe = 15-19</t>
  </si>
  <si>
    <t>Severe = 20-27</t>
  </si>
  <si>
    <t>Generalised Anxiety Disorder Assessment (GAD-7)</t>
  </si>
  <si>
    <t>GAD-7</t>
  </si>
  <si>
    <t>PHQ-9</t>
  </si>
  <si>
    <t>The Personality Inventory for DSM-5 - Brief Form (PID-5-BF)</t>
  </si>
  <si>
    <t xml:space="preserve">People would describe me as reckless. </t>
  </si>
  <si>
    <t xml:space="preserve">I feel like I act totally on impulse. </t>
  </si>
  <si>
    <t xml:space="preserve">Even though I know better, I can’t stop making rash decisions. </t>
  </si>
  <si>
    <t xml:space="preserve">I often feel like nothing I do really matters. </t>
  </si>
  <si>
    <t xml:space="preserve">Others see me as irresponsible. </t>
  </si>
  <si>
    <t xml:space="preserve">I’m not good at planning ahead. </t>
  </si>
  <si>
    <t xml:space="preserve">My thoughts often don’t make sense to others. </t>
  </si>
  <si>
    <t xml:space="preserve">I worry about almost everything. </t>
  </si>
  <si>
    <t xml:space="preserve">I get emotional easily, often for very little reason. </t>
  </si>
  <si>
    <t xml:space="preserve">I fear being alone in life more than anything else. </t>
  </si>
  <si>
    <t xml:space="preserve">I get stuck on one way of doing things, even when it’s clear it won’t work. </t>
  </si>
  <si>
    <t xml:space="preserve">I have seen things that weren’t really there. </t>
  </si>
  <si>
    <t xml:space="preserve">I steer clear of romantic relationships. </t>
  </si>
  <si>
    <t xml:space="preserve">I’m not interested in making friends. </t>
  </si>
  <si>
    <t xml:space="preserve">I get irritated easily by all sorts of things. </t>
  </si>
  <si>
    <t xml:space="preserve">I don’t like to get too close to people. </t>
  </si>
  <si>
    <t xml:space="preserve">It’s no big deal if I hurt other peoples’ feelings. </t>
  </si>
  <si>
    <t xml:space="preserve">I rarely get enthusiastic about anything. </t>
  </si>
  <si>
    <t xml:space="preserve">I crave attention. </t>
  </si>
  <si>
    <t xml:space="preserve">I often have to deal with people who are less important than me. </t>
  </si>
  <si>
    <t xml:space="preserve">I often have thoughts that make sense to me but that other people say are strange. </t>
  </si>
  <si>
    <t xml:space="preserve">I use people to get what I want. </t>
  </si>
  <si>
    <t xml:space="preserve">I often “zone out” and then suddenly come to and realize that a lot of time has passed. </t>
  </si>
  <si>
    <t xml:space="preserve">Things around me often feel unreal, or more real than usual. </t>
  </si>
  <si>
    <t xml:space="preserve">It is easy for me to take advantage of others. </t>
  </si>
  <si>
    <t>PID_5_BF</t>
  </si>
  <si>
    <t>NA</t>
  </si>
  <si>
    <t>DSM-5 Self-Rated Level 1 Cross-Cutting Symptom Measure (DSM-5)</t>
  </si>
  <si>
    <t>Alcohol Use Disorders Identification Test (AUDIT)</t>
  </si>
  <si>
    <t>| 0 | ---- | 1 | ---- | 2 | ---- | 3 | ---- | 4 |</t>
  </si>
  <si>
    <t>High Risk or Harmful Level = 16-19</t>
  </si>
  <si>
    <t>Low Risk = 0-7</t>
  </si>
  <si>
    <t>Moderate Risk = 8-15</t>
  </si>
  <si>
    <t>Very High Risk or Dependence Likely = 20-40</t>
  </si>
  <si>
    <t>AUDIT</t>
  </si>
  <si>
    <t xml:space="preserve">How often do you have a drink containing alcohol? </t>
  </si>
  <si>
    <t xml:space="preserve">How many drinks containing alcohol do you have on a typical day when you are drinking? </t>
  </si>
  <si>
    <t xml:space="preserve">How often do you have six or more standard drinks on one occasion? </t>
  </si>
  <si>
    <t xml:space="preserve">How often during the last year have you found that you were not able to stop drinking once you had started? </t>
  </si>
  <si>
    <t xml:space="preserve">How often during the last year have you failed to do what was normally expected of you because of drinking? </t>
  </si>
  <si>
    <t xml:space="preserve">How often during the last year have you needed a drink first thing in the morning to get yourself going after a heavy drinking session? </t>
  </si>
  <si>
    <t xml:space="preserve">How often during the last year have you had a feeling of guilt or remorse after drinking? </t>
  </si>
  <si>
    <t xml:space="preserve">How often during the last year have you been unable to remember what happened the night before because of your drinking? </t>
  </si>
  <si>
    <t xml:space="preserve">Have you or someone else been injured because of your drinking? </t>
  </si>
  <si>
    <t xml:space="preserve">Has a relative, friend, doctor or other healthcare worker been concerned about your drinking or suggested you cut down? </t>
  </si>
  <si>
    <t>PID-5-BF</t>
  </si>
  <si>
    <t>DSM-5-TR Self-Rated Level 1 Cross-Cutting Symptom Measure-Adult (DSM-5; American Psychiatric Association, 2013)</t>
  </si>
  <si>
    <t>Kessler Psychological Distress Scale (K10; Kessler et al., 2003)</t>
  </si>
  <si>
    <t>Generalised Anxiety Disorder Assessment (GAD-7; Spitzer et al., 2006)</t>
  </si>
  <si>
    <t>Patient Health Questionnaire (PHQ-9; Kroenke et al., 2001)</t>
  </si>
  <si>
    <t>Alcohol Use Disorders Identification Test (AUDIT; Babor et al., 1992)</t>
  </si>
  <si>
    <t>Personality Inventory for DSM-5 (PID-5; Krueger et al., 2012)</t>
  </si>
  <si>
    <t>The Personality Inventory for DSM-5 - Brief Form (PID-5-BF; Krueger et al., 2012)</t>
  </si>
  <si>
    <t>Download ERQ pdf</t>
  </si>
  <si>
    <t>Download DASS-21 pdf</t>
  </si>
  <si>
    <t>Download K10 pdf</t>
  </si>
  <si>
    <t>Download GAD-7 pdf</t>
  </si>
  <si>
    <t>Download PHQ-9 pdf</t>
  </si>
  <si>
    <t>Download AUDIT pdf</t>
  </si>
  <si>
    <t>Download PID-5 pdf</t>
  </si>
  <si>
    <t>Download PID-5-BF pdf</t>
  </si>
  <si>
    <t>Download DSM-5 questionnaire pdf</t>
  </si>
  <si>
    <t>Higher scores indicate higher symptom severity</t>
  </si>
  <si>
    <t>Please note: When inputting item scores within each 'measure' tab, a value needs to be inputted for all items in a measure for its subscale and composite scores to be calculated correctly. If a patient or participant has not answered some items, the mean score they gave for the other items in that subscale can be inputted as the value for the missing item(s). However, keep in mind that substituting item values in this way will reduce the confidence with which the subscale and composite scores can be interpreted (as it differs from the way the measure was validated).</t>
  </si>
  <si>
    <t>Higher scores indicate more usage of that particular emotion regulation strategy.</t>
  </si>
  <si>
    <t>Low = low use of that emotion regulation strategy.</t>
  </si>
  <si>
    <t>Average = average level of use of that emotion regulation strategy.</t>
  </si>
  <si>
    <t>High = high use of that emotion regulation strategy.</t>
  </si>
  <si>
    <t>Higher scores indicate more frequent or severe symptoms in a category</t>
  </si>
  <si>
    <t>Higher scores indicate more severe symptoms</t>
  </si>
  <si>
    <t>Higher scores indicate a stronger presence of that particular personality facet/trait</t>
  </si>
  <si>
    <t>Low = low level of that personality facet/trait</t>
  </si>
  <si>
    <t>Average = average level of that personality facet/trait</t>
  </si>
  <si>
    <t>High = high level of that personality facet/trait</t>
  </si>
  <si>
    <t>Higher scores indicate a stronger presence of that particular personality trait</t>
  </si>
  <si>
    <t>Depressive symptoms</t>
  </si>
  <si>
    <t>Depressive symptoms: self-disparaging, dispirited, gloomy, blue, convinced that life has no meaning or value, pessimistic about the future, unable to experience enjoyment or satisfaction, unable to become interested or involved, slow, lacking in initiative</t>
  </si>
  <si>
    <t>Anxiety symptoms: apprehensive, panicky, trembly, shaky, aware of dryness of the mouth, breathing difficulties, pounding of the heart, sweatiness of the palms, worried about performance and possible loss of control.</t>
  </si>
  <si>
    <t>Stress symptoms: over-aroused, tense, unable to relax, touchy, easily upset, irritable, easily startled, nervy, jumpy, fidgety, intolerant of interruption or delay</t>
  </si>
  <si>
    <t>Psychological distress, combination of depressive and anxiety symptoms</t>
  </si>
  <si>
    <t>Generalised anxiety symptoms</t>
  </si>
  <si>
    <t>Alcohol use disorder symptoms</t>
  </si>
  <si>
    <t>Scale descriptions from the DASS developer's website: http://www2.psy.unsw.edu.au/dass/over.htm</t>
  </si>
  <si>
    <t>Developer Reference</t>
  </si>
  <si>
    <t>Higher scores indicate a higher usage of that emotion regulation strategy</t>
  </si>
  <si>
    <t>Highers scores indicate higher symptom severity</t>
  </si>
  <si>
    <t>Higher scores indicate a stronger presence of that personality trait/facet</t>
  </si>
  <si>
    <t>Higher scores indicate a stronger presence of that personality trait</t>
  </si>
  <si>
    <t>Possible Range</t>
  </si>
  <si>
    <t>6 to 42</t>
  </si>
  <si>
    <t>4 to 28</t>
  </si>
  <si>
    <t>Bach, B., Maples-Keller, J. L. J. L., Bo, S., &amp; Simonsen, E. (2016). The alternative DSM–5 personality disorder traits criterion: A comparative examination of three self-report forms in a Danish population. Personality Disorders: Theory, Research, and Treatment, 7(2), 124–135.</t>
  </si>
  <si>
    <t>Kessler, R. C., Barker, P. R., Colpe, L. J., Epstein, J. F., Gfroerer, J. C., Hiripi, E., ... &amp; Zaslavsky, A. M. (2003). Screening for serious mental illness in the general population. Archives of general psychiatry, 60(2), 184-189.</t>
  </si>
  <si>
    <t>https://www.psychiatry.org/psychiatrists/practice/dsm/educational-resources/assessment-measures</t>
  </si>
  <si>
    <t>Client ID:</t>
  </si>
  <si>
    <t>First Name:</t>
  </si>
  <si>
    <t>Last Name:</t>
  </si>
  <si>
    <t>Gender:</t>
  </si>
  <si>
    <t>Date of Birth (DD/MM/YYYY):</t>
  </si>
  <si>
    <t>Assessment date (DD/MM/YYYY):</t>
  </si>
  <si>
    <t>Age at assessment (auto calculates):</t>
  </si>
  <si>
    <t>Highest education completed:</t>
  </si>
  <si>
    <t>Employment status:</t>
  </si>
  <si>
    <t>Assessment Number:</t>
  </si>
  <si>
    <t>Instructions shown to clients/participants:</t>
  </si>
  <si>
    <t>ENTER item scores here (1-7)</t>
  </si>
  <si>
    <t>ENTER item scores here (1-5)</t>
  </si>
  <si>
    <t>ENTER item scores here (0-3)</t>
  </si>
  <si>
    <t>ENTER item scores here (0-4)</t>
  </si>
  <si>
    <t>Anger symptoms</t>
  </si>
  <si>
    <t>Dissociation symptoms</t>
  </si>
  <si>
    <t>Mania symptoms</t>
  </si>
  <si>
    <t>Anxiety symptoms</t>
  </si>
  <si>
    <t>Psychosis symptoms</t>
  </si>
  <si>
    <t>Memory problems</t>
  </si>
  <si>
    <t>OCD symptoms</t>
  </si>
  <si>
    <t>Personality functioning symptoms</t>
  </si>
  <si>
    <t>Substance use symptoms</t>
  </si>
  <si>
    <t>Krueger, R. F., Derringer, J., Markon, K. E., Watson, D., &amp; Skodol, A. E. (2012). Initial construction of a maladaptive personality trait model and inventory for DSM-5. Psychological Medicine, 42(09), 1879–1890.</t>
  </si>
  <si>
    <t>http://apps.who.int/iris/bitstream/handle/10665/67205/WHO_MSD_MSB_01.6a.pdf;jsessionid=922FE7F4D3AD4BD43E0026DFE65B3B80?sequence=1</t>
  </si>
  <si>
    <r>
      <t>Babor, T.F.; de la Fuente, J.R.; Saunders, J.; and Grant, M. AUDIT. </t>
    </r>
    <r>
      <rPr>
        <i/>
        <sz val="12"/>
        <color rgb="FF000000"/>
        <rFont val="Calibri"/>
        <family val="2"/>
        <scheme val="minor"/>
      </rPr>
      <t>The Alcohol Use Disorders Identification Test. Guidelines for use in primary health care</t>
    </r>
    <r>
      <rPr>
        <sz val="12"/>
        <color rgb="FF000000"/>
        <rFont val="Calibri"/>
        <family val="2"/>
        <scheme val="minor"/>
      </rPr>
      <t>. Geneva, Switzerland: World Health Organization, 1992.</t>
    </r>
  </si>
  <si>
    <r>
      <t>Spitzer, R. L., Kroenke, K., Williams, J. B., &amp; Löwe, B. (2006). A brief measure for assessing generalized anxiety disorder: the GAD-7. </t>
    </r>
    <r>
      <rPr>
        <i/>
        <sz val="12"/>
        <color rgb="FF222222"/>
        <rFont val="Calibri"/>
        <family val="2"/>
        <scheme val="minor"/>
      </rPr>
      <t>Archives of internal medicine</t>
    </r>
    <r>
      <rPr>
        <sz val="12"/>
        <color rgb="FF222222"/>
        <rFont val="Calibri"/>
        <family val="2"/>
        <scheme val="minor"/>
      </rPr>
      <t>, </t>
    </r>
    <r>
      <rPr>
        <i/>
        <sz val="12"/>
        <color rgb="FF222222"/>
        <rFont val="Calibri"/>
        <family val="2"/>
        <scheme val="minor"/>
      </rPr>
      <t>166</t>
    </r>
    <r>
      <rPr>
        <sz val="12"/>
        <color rgb="FF222222"/>
        <rFont val="Calibri"/>
        <family val="2"/>
        <scheme val="minor"/>
      </rPr>
      <t>(10), 1092-1097.</t>
    </r>
  </si>
  <si>
    <t>_</t>
  </si>
  <si>
    <t>0-3</t>
  </si>
  <si>
    <t>Note: Mean for PID-5-BF is the average score, rather than the sum score.</t>
  </si>
  <si>
    <t>Note: Mean for PID-5 is the average score, rather than the sum score.</t>
  </si>
  <si>
    <r>
      <t>Becerra, R., Preece, D. A., &amp; Gross, J. J. (2020). Assessing beliefs about emotions: Development and validation of the Emotion Beliefs Questionnaire. </t>
    </r>
    <r>
      <rPr>
        <i/>
        <sz val="12"/>
        <color rgb="FF222222"/>
        <rFont val="Calibri"/>
        <family val="2"/>
        <scheme val="minor"/>
      </rPr>
      <t>PLoS one</t>
    </r>
    <r>
      <rPr>
        <sz val="12"/>
        <color rgb="FF222222"/>
        <rFont val="Calibri"/>
        <family val="2"/>
        <scheme val="minor"/>
      </rPr>
      <t>, </t>
    </r>
    <r>
      <rPr>
        <i/>
        <sz val="12"/>
        <color rgb="FF222222"/>
        <rFont val="Calibri"/>
        <family val="2"/>
        <scheme val="minor"/>
      </rPr>
      <t>15</t>
    </r>
    <r>
      <rPr>
        <sz val="12"/>
        <color rgb="FF222222"/>
        <rFont val="Calibri"/>
        <family val="2"/>
        <scheme val="minor"/>
      </rPr>
      <t>(4), e0231395.</t>
    </r>
  </si>
  <si>
    <r>
      <t>Gross, J. J., &amp; John, O. P. (2003). Individual differences in two emotion regulation processes: implications for affect, relationships, and well-being. </t>
    </r>
    <r>
      <rPr>
        <i/>
        <sz val="12"/>
        <color rgb="FF222222"/>
        <rFont val="Calibri"/>
        <family val="2"/>
        <scheme val="minor"/>
      </rPr>
      <t>Journal of personality and social psychology</t>
    </r>
    <r>
      <rPr>
        <sz val="12"/>
        <color rgb="FF222222"/>
        <rFont val="Calibri"/>
        <family val="2"/>
        <scheme val="minor"/>
      </rPr>
      <t>, </t>
    </r>
    <r>
      <rPr>
        <i/>
        <sz val="12"/>
        <color rgb="FF222222"/>
        <rFont val="Calibri"/>
        <family val="2"/>
        <scheme val="minor"/>
      </rPr>
      <t>85</t>
    </r>
    <r>
      <rPr>
        <sz val="12"/>
        <color rgb="FF222222"/>
        <rFont val="Calibri"/>
        <family val="2"/>
        <scheme val="minor"/>
      </rPr>
      <t>(2), 348.</t>
    </r>
  </si>
  <si>
    <t>American Psychiatric Association (2013)</t>
  </si>
  <si>
    <r>
      <t>Kroenke, K., Spitzer, R. L., &amp; Williams, J. B. (2001). The PHQ‐9: validity of a brief depression severity measure. </t>
    </r>
    <r>
      <rPr>
        <i/>
        <sz val="12"/>
        <color rgb="FF222222"/>
        <rFont val="Calibri"/>
        <family val="2"/>
        <scheme val="minor"/>
      </rPr>
      <t>Journal of general internal medicine</t>
    </r>
    <r>
      <rPr>
        <sz val="12"/>
        <color rgb="FF222222"/>
        <rFont val="Calibri"/>
        <family val="2"/>
        <scheme val="minor"/>
      </rPr>
      <t>, </t>
    </r>
    <r>
      <rPr>
        <i/>
        <sz val="12"/>
        <color rgb="FF222222"/>
        <rFont val="Calibri"/>
        <family val="2"/>
        <scheme val="minor"/>
      </rPr>
      <t>16</t>
    </r>
    <r>
      <rPr>
        <sz val="12"/>
        <color rgb="FF222222"/>
        <rFont val="Calibri"/>
        <family val="2"/>
        <scheme val="minor"/>
      </rPr>
      <t>(9), 606-613.</t>
    </r>
  </si>
  <si>
    <r>
      <t>Lovibond, P. F., &amp; Lovibond, S. H. (1995). The structure of negative emotional states: Comparison of the Depression Anxiety Stress Scales (DASS) with the Beck Depression and Anxiety Inventories. </t>
    </r>
    <r>
      <rPr>
        <i/>
        <sz val="12"/>
        <color rgb="FF222222"/>
        <rFont val="Calibri"/>
        <family val="2"/>
        <scheme val="minor"/>
      </rPr>
      <t>Behaviour research and therapy</t>
    </r>
    <r>
      <rPr>
        <sz val="12"/>
        <color rgb="FF222222"/>
        <rFont val="Calibri"/>
        <family val="2"/>
        <scheme val="minor"/>
      </rPr>
      <t>, </t>
    </r>
    <r>
      <rPr>
        <i/>
        <sz val="12"/>
        <color rgb="FF222222"/>
        <rFont val="Calibri"/>
        <family val="2"/>
        <scheme val="minor"/>
      </rPr>
      <t>33</t>
    </r>
    <r>
      <rPr>
        <sz val="12"/>
        <color rgb="FF222222"/>
        <rFont val="Calibri"/>
        <family val="2"/>
        <scheme val="minor"/>
      </rPr>
      <t>(3), 335-343.</t>
    </r>
  </si>
  <si>
    <r>
      <t>Preece, D., Becerra, R., &amp; Campitelli, G. (2019). Assessing emotional reactivity: Psychometric properties of the Perth Emotional Reactivity Scale and the development of a short form. </t>
    </r>
    <r>
      <rPr>
        <i/>
        <sz val="12"/>
        <color rgb="FF222222"/>
        <rFont val="Calibri"/>
        <family val="2"/>
        <scheme val="minor"/>
      </rPr>
      <t>Journal of Personality Assessment</t>
    </r>
    <r>
      <rPr>
        <sz val="12"/>
        <color rgb="FF222222"/>
        <rFont val="Calibri"/>
        <family val="2"/>
        <scheme val="minor"/>
      </rPr>
      <t>, </t>
    </r>
    <r>
      <rPr>
        <i/>
        <sz val="12"/>
        <color rgb="FF222222"/>
        <rFont val="Calibri"/>
        <family val="2"/>
        <scheme val="minor"/>
      </rPr>
      <t>101</t>
    </r>
    <r>
      <rPr>
        <sz val="12"/>
        <color rgb="FF222222"/>
        <rFont val="Calibri"/>
        <family val="2"/>
        <scheme val="minor"/>
      </rPr>
      <t>(6), 589-597.</t>
    </r>
  </si>
  <si>
    <r>
      <t>Becerra, R., Preece, D., Campitelli, G., &amp; Scott-Pillow, G. (2019). The assessment of emotional reactivity across negative and positive emotions: Development and validation of the Perth Emotional Reactivity Scale (PERS). </t>
    </r>
    <r>
      <rPr>
        <i/>
        <sz val="12"/>
        <color rgb="FF222222"/>
        <rFont val="Calibri"/>
        <family val="2"/>
        <scheme val="minor"/>
      </rPr>
      <t>Assessment</t>
    </r>
    <r>
      <rPr>
        <sz val="12"/>
        <color rgb="FF222222"/>
        <rFont val="Calibri"/>
        <family val="2"/>
        <scheme val="minor"/>
      </rPr>
      <t>, </t>
    </r>
    <r>
      <rPr>
        <i/>
        <sz val="12"/>
        <color rgb="FF222222"/>
        <rFont val="Calibri"/>
        <family val="2"/>
        <scheme val="minor"/>
      </rPr>
      <t>26</t>
    </r>
    <r>
      <rPr>
        <sz val="12"/>
        <color rgb="FF222222"/>
        <rFont val="Calibri"/>
        <family val="2"/>
        <scheme val="minor"/>
      </rPr>
      <t>(5), 867-879.</t>
    </r>
  </si>
  <si>
    <t>DSM-5-TR Self-Rated Level 1 Cross-Cutting Symptom Measure-Adult (DSM-5-TR)</t>
  </si>
  <si>
    <t>Terms and Conditions of Use</t>
  </si>
  <si>
    <t xml:space="preserve">You can also visit our clinical psychology practice and research lab websites for more information: </t>
  </si>
  <si>
    <t>On each sheet labelled with each measure's name, there is a space to input the item scores of that measure (i.e., input the number that the patient or participant circled on the Likert scale for that item in the "ENTER item scores here" column).</t>
  </si>
  <si>
    <t>https://psychologywa.com</t>
  </si>
  <si>
    <t>Emotional Functioning</t>
  </si>
  <si>
    <t>Perth Emotional Reactivity Scale-Short Form (PERS-S)</t>
  </si>
  <si>
    <t>DSM-5-TR Self-Rated Level 1 Cross-Cutting Symptom Measure-Adult (DSM-5)</t>
  </si>
  <si>
    <t>Personality Inventory for DSM-5 (PID-5)</t>
  </si>
  <si>
    <t>Profile Index</t>
  </si>
  <si>
    <t>Norms Index</t>
  </si>
  <si>
    <t>Perth Empathy Scale (PES; Brett et al., 2022)</t>
  </si>
  <si>
    <t>Perth Empathy Scale (PES)</t>
  </si>
  <si>
    <t>Negative-Cognitive Empathy</t>
  </si>
  <si>
    <t>Positive-Cognitive Empathy</t>
  </si>
  <si>
    <t>Negative-Affective Empathy</t>
  </si>
  <si>
    <t>Positive-Affective Empathy</t>
  </si>
  <si>
    <t>General-Cognitive Empathy</t>
  </si>
  <si>
    <t>General-Affective Empathy</t>
  </si>
  <si>
    <t>Total sample (N = 638)</t>
  </si>
  <si>
    <t>PES</t>
  </si>
  <si>
    <t>Gen-Cog</t>
  </si>
  <si>
    <t>Gen-Aff</t>
  </si>
  <si>
    <t>Pos-Aff</t>
  </si>
  <si>
    <t>Neg-Cog</t>
  </si>
  <si>
    <t>Pos-Cog</t>
  </si>
  <si>
    <t>Neg-Aff</t>
  </si>
  <si>
    <t>| 1 = Almost never | ---- | 2 = Sometimes | ---- | 3 = About half the time | ---- | 4 = Most of the time | ---- | 5 = Almost always |</t>
  </si>
  <si>
    <t>Just by seeing or hearing someone, I know if they are feeling sad.</t>
  </si>
  <si>
    <t>When I see or hear someone who is sad, it makes me feel sad too.</t>
  </si>
  <si>
    <t>Just by seeing or hearing someone, I know if they are feeling happy.</t>
  </si>
  <si>
    <t>When I see or hear someone who is happy, it makes me feel happy too.</t>
  </si>
  <si>
    <t>Just by seeing or hearing someone, I know if they are feeling angry.</t>
  </si>
  <si>
    <t>When I see or hear someone who is angry, it makes me feel angry too.</t>
  </si>
  <si>
    <t>Just by seeing or hearing someone, I know if they are feeling amused.</t>
  </si>
  <si>
    <t>When I see or hear someone who is amused, it makes me feel amused too.</t>
  </si>
  <si>
    <t>Just by seeing or hearing someone, I know if they are feeling scared.</t>
  </si>
  <si>
    <t>When I see or hear someone who is scared, it makes me feel scared too.</t>
  </si>
  <si>
    <t>Just by seeing or hearing someone, I know if they are feeling calm.</t>
  </si>
  <si>
    <t>When I see or hear someone who is calm, it makes me feel calm too.</t>
  </si>
  <si>
    <t>Just by seeing or hearing someone, I know if they are feeling disgusted.</t>
  </si>
  <si>
    <t>When I see or hear someone who is disgusted, it makes me feel disgusted too.</t>
  </si>
  <si>
    <t>Just by seeing or hearing someone, I know if they are feeling enthusiastic.</t>
  </si>
  <si>
    <t>When I see or hear someone who is enthusiastic, it makes me feel enthusiastic too.</t>
  </si>
  <si>
    <t>Just by seeing or hearing someone, I know if they are feeling embarrassed.</t>
  </si>
  <si>
    <t>When I see or hear someone who is embarrassed, it makes me feel embarrassed too.</t>
  </si>
  <si>
    <t>Just by seeing or hearing someone, I know if they are feeling proud.</t>
  </si>
  <si>
    <t>When I see or hear someone who is proud, it makes me feel proud too.</t>
  </si>
  <si>
    <t>Ability to recognise others’ negative emotions.</t>
  </si>
  <si>
    <t>Ability to recognise others’ positive emotions.</t>
  </si>
  <si>
    <t>Ability to share others’ negative emotions.</t>
  </si>
  <si>
    <t>Ability to share others’ positive emotions.</t>
  </si>
  <si>
    <t xml:space="preserve">Ability to recognise others’ emotions (negative and positive). </t>
  </si>
  <si>
    <t>Ability to share others’ emotions (negative and positive).</t>
  </si>
  <si>
    <t>Overall empathy; ability to recognise and share others’ emotions (negative and positive).</t>
  </si>
  <si>
    <t>Low = low level of empathy</t>
  </si>
  <si>
    <t>Average = average level of empathy</t>
  </si>
  <si>
    <t>High = high level of empathy</t>
  </si>
  <si>
    <t>Higher scores indicate a higher levels of empathy</t>
  </si>
  <si>
    <t>Depression Anxiety Stress Scales (DASS)</t>
  </si>
  <si>
    <t>I found myself getting upset by quite trivial things</t>
  </si>
  <si>
    <t>I experienced breathing difficulty (eg, excessively rapid breathing, breathlessness in the absence of physical exertion)</t>
  </si>
  <si>
    <t>I just couldn't seem to get going</t>
  </si>
  <si>
    <t>I had a feeling of shakiness (eg, legs going to give way)</t>
  </si>
  <si>
    <t>I found myself in situations that made me so anxious I was most relieved when they ended</t>
  </si>
  <si>
    <t>I found myself getting upset rather easily</t>
  </si>
  <si>
    <t>I felt sad and depressed</t>
  </si>
  <si>
    <t>I found myself getting impatient when I was delayed in any way (eg, elevators, traffic lights, being kept waiting)</t>
  </si>
  <si>
    <t>I had a feeling of faintness</t>
  </si>
  <si>
    <t>I felt that I had lost interest in just about everything</t>
  </si>
  <si>
    <t>I perspired noticeably (eg, hands sweaty) in the absence of high temperatures or physical exertion</t>
  </si>
  <si>
    <t>I felt that life wasn't worthwhile</t>
  </si>
  <si>
    <t>I had difficulty in swallowing</t>
  </si>
  <si>
    <t>I couldn't seem to get any enjoyment out of the things I did</t>
  </si>
  <si>
    <t>I was aware of the action of my heart in the absence of physical exertion (eg, sense of heart rate increase, heart missing a beat)</t>
  </si>
  <si>
    <t>I found that I was very irritable</t>
  </si>
  <si>
    <t>I found it hard to calm down after something upset me</t>
  </si>
  <si>
    <t>I feared that I would be "thrown" by some trivial but unfamiliar task</t>
  </si>
  <si>
    <t>I found it difficult to tolerate interruptions to what I was doing</t>
  </si>
  <si>
    <t>I was in a state of nervous tension</t>
  </si>
  <si>
    <t>I felt I was pretty worthless</t>
  </si>
  <si>
    <t>I felt terrified</t>
  </si>
  <si>
    <t>I could see nothing in the future to be hopeful about</t>
  </si>
  <si>
    <t>I experienced trembling (eg, in the hands)</t>
  </si>
  <si>
    <t>DASS</t>
  </si>
  <si>
    <t>AQ-10</t>
  </si>
  <si>
    <t>ENTER item scores here (1-4)</t>
  </si>
  <si>
    <t>| 1 = Definitely Agree | ---- | 2 = Slightly Agree | ---- | 3 = Slightly Disagree | ---- | 4 = Definitely Disagree |</t>
  </si>
  <si>
    <t>I often notice small sounds when others do not</t>
  </si>
  <si>
    <t>I usually concentrate more on the whole picture, rather than the small details</t>
  </si>
  <si>
    <t>I find it easy to do more than one thing at once</t>
  </si>
  <si>
    <t>If there is an interruption, I can switch back to what I was doing very quickly</t>
  </si>
  <si>
    <t>I find it easy to ‘read between the lines’ when someone is talking to me</t>
  </si>
  <si>
    <t>I know how to tell if someone listening to me is getting bored</t>
  </si>
  <si>
    <t>When I’m reading a story I find it difficult to work out the characters’ intentions</t>
  </si>
  <si>
    <t>I like to collect information about categories of things (e.g. types of car, types of bird, types of train, types of plant etc)</t>
  </si>
  <si>
    <t>I find it easy to work out what someone is thinking or feeling just by looking at their face</t>
  </si>
  <si>
    <t>I find it difficult to work out people’s intentions</t>
  </si>
  <si>
    <t>Adult ADHD Self-Report Scale (ASRS)</t>
  </si>
  <si>
    <t>Comprehensive Autistic Trait Inventory (CATI)</t>
  </si>
  <si>
    <t>Social skill</t>
  </si>
  <si>
    <t>Attention switching</t>
  </si>
  <si>
    <t>Attention to detail</t>
  </si>
  <si>
    <t>Communication</t>
  </si>
  <si>
    <t>I prefer to do things with others rather than on my own.</t>
  </si>
  <si>
    <t>I prefer to do things the same way over and over again.</t>
  </si>
  <si>
    <t>If I try to imagine something, I find it very easy to create a picture in my mind.</t>
  </si>
  <si>
    <t>I frequently get so strongly absorbed in one thing that I lose sight of other things.</t>
  </si>
  <si>
    <t>I often notice small sounds when others do not.</t>
  </si>
  <si>
    <t>I usually notice car number plates or similar strings of information.</t>
  </si>
  <si>
    <t>Other people frequently tell me that what I’ve said is impolite, even though I think it is polite.</t>
  </si>
  <si>
    <t>When I’m reading a story, I can easily imagine what the characters might look like.</t>
  </si>
  <si>
    <t>In a social group, I can easily keep track of several different people’s conversations.</t>
  </si>
  <si>
    <t>I find social situations easy.</t>
  </si>
  <si>
    <t>I tend to notice details that others do not.</t>
  </si>
  <si>
    <t>I would rather go to a library than a party.</t>
  </si>
  <si>
    <t>I find making up stories easy.</t>
  </si>
  <si>
    <t>I find myself drawn more strongly to people than to things.</t>
  </si>
  <si>
    <t>I tend to have very strong interests which I get upset about if I can’t pursue.</t>
  </si>
  <si>
    <t>I enjoy social chit-chat.</t>
  </si>
  <si>
    <t>When I talk, it isn’t always easy for others to get a word in edgeways.</t>
  </si>
  <si>
    <t>I am fascinated by numbers.</t>
  </si>
  <si>
    <t>When I’m reading a story, I find it difficult to work out the characters’ intentions.</t>
  </si>
  <si>
    <t>I don’t particularly enjoy reading fiction.</t>
  </si>
  <si>
    <t>I find it hard to make new friends.</t>
  </si>
  <si>
    <t>I notice patterns in things all the time.</t>
  </si>
  <si>
    <t>I would rather go to the theatre than a museum.</t>
  </si>
  <si>
    <t>It does not upset me if my daily routine is disturbed.</t>
  </si>
  <si>
    <t>I am fascinated by dates</t>
  </si>
  <si>
    <t>I frequently find that I don’t know how to keep a conversation going.</t>
  </si>
  <si>
    <t>I find it easy to “read between the lines” when someone is talking to me.</t>
  </si>
  <si>
    <t>I usually concentrate more on the whole picture, rather than the small details.</t>
  </si>
  <si>
    <t>I am not very good at remembering phone numbers.</t>
  </si>
  <si>
    <t>I don’t usually notice small changes in a situation, or a person’s appearance.</t>
  </si>
  <si>
    <t>I know how to tell if someone listening to me is getting bored.</t>
  </si>
  <si>
    <t>I find it easy to do more than one thing at once.</t>
  </si>
  <si>
    <t>When I talk on the phone, I’m not sure when it’s my turn to speak.</t>
  </si>
  <si>
    <t>I enjoy doing things spontaneously.</t>
  </si>
  <si>
    <t>I am often the last to understand the point of a joke.</t>
  </si>
  <si>
    <t>I find it easy to work out what someone is thinking or feeling just by looking at their face.</t>
  </si>
  <si>
    <t xml:space="preserve">If there is an interruption, I can switch back to what I was doing very quickly. </t>
  </si>
  <si>
    <t>I am good at social chit-chat.</t>
  </si>
  <si>
    <t>People often tell me that I keep going on and on about the same thing.</t>
  </si>
  <si>
    <t>When I was young, I used to enjoy playing games involving pretending with other children.</t>
  </si>
  <si>
    <t>I like to collect information about categories of things (e.g. types of car, types of bird, types of train, types of plant, etc.).</t>
  </si>
  <si>
    <t>I find it difficult to imagine what it would be like to be someone else.</t>
  </si>
  <si>
    <t>I like to plan any activities I participate in carefully.</t>
  </si>
  <si>
    <t>I enjoy social occasions.</t>
  </si>
  <si>
    <t>I find it difficult to work out people’s intentions.</t>
  </si>
  <si>
    <t>New situations make me anxious.</t>
  </si>
  <si>
    <t>I enjoy meeting new people.</t>
  </si>
  <si>
    <t>I am a good diplomat.</t>
  </si>
  <si>
    <t>I am not very good at remembering people’s date of birth.</t>
  </si>
  <si>
    <t>I find it very easy to play games with children that involve pretending.</t>
  </si>
  <si>
    <t>Below are a list of statements. Please read each statement very carefully and rate how strongly you agree or disagree with it.</t>
  </si>
  <si>
    <t>AQ</t>
  </si>
  <si>
    <t>Composite</t>
  </si>
  <si>
    <t>ASRS</t>
  </si>
  <si>
    <t>How often do you have trouble wrapping up the final details of a project, once the challenging parts have been done?</t>
  </si>
  <si>
    <t>How often do you have difficulty getting things in order when you have to do a task that requires organization?</t>
  </si>
  <si>
    <t>How often do you have problems remembering appointments or obligations?</t>
  </si>
  <si>
    <t>When you have a task that requires a lot of thought, how often do you avoid or delay getting started?</t>
  </si>
  <si>
    <t>How often do you fidget or squirm with your hands or feet when you have to sit down for a long time?</t>
  </si>
  <si>
    <t>How often do you feel overly active and compelled to do things, like you were driven by a motor?</t>
  </si>
  <si>
    <t>How often do you make careless mistakes when you have to work on a boring or difficult project?</t>
  </si>
  <si>
    <t>How often do you have difficulty keeping your attention when you are doing boring or repetitive work?</t>
  </si>
  <si>
    <t>How often do you have difficulty concentrating on what people say to you, even when they are speaking to you directly?</t>
  </si>
  <si>
    <t>How often do you misplace or have difficulty finding things at home or at work?</t>
  </si>
  <si>
    <t>How often are you distracted by activity or noise around you?</t>
  </si>
  <si>
    <t>How often do you leave your seat in meetings or other situations in which you are expected to remain seated?</t>
  </si>
  <si>
    <t>How often do you feel restless or fidgety?</t>
  </si>
  <si>
    <t>How often do you have difficulty unwinding and relaxing when you have time to yourself?</t>
  </si>
  <si>
    <t>How often do you find yourself talking too much when you are in social situations?</t>
  </si>
  <si>
    <t>When you’re in a conversation, how often do you find yourself finishing the sentences of the people you are talking to, before they can finish them themselves?</t>
  </si>
  <si>
    <t>How often do you have difficulty waiting your turn in situations when turn taking is required?</t>
  </si>
  <si>
    <t>How often do you interrupt others when they are busy?</t>
  </si>
  <si>
    <t>Part A</t>
  </si>
  <si>
    <t>Part B</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</si>
  <si>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t>
  </si>
  <si>
    <t>I often find myself fiddling or playing repetitively with objects (e.g. clicking pens)</t>
  </si>
  <si>
    <t>I like to stick to certain routines for every-day tasks</t>
  </si>
  <si>
    <t>I expend a lot of mental energy trying to fit in with others</t>
  </si>
  <si>
    <t>I am over-sensitive to bright lighting</t>
  </si>
  <si>
    <t>There are certain activities that I always choose to do the same way, every time</t>
  </si>
  <si>
    <t>I often rock when sitting in a chair</t>
  </si>
  <si>
    <t>I generally enjoy social events</t>
  </si>
  <si>
    <t>I look for strategies and ways to appear more sociable</t>
  </si>
  <si>
    <t>In social situations, I try to avoid interactions with other people</t>
  </si>
  <si>
    <t>There are times when I feel that my senses are overloaded</t>
  </si>
  <si>
    <t>There are certain objects that I fiddle or play with that can help me calm down or collect my thoughts</t>
  </si>
  <si>
    <t>Reading non-verbal cues (e.g. facial expressions, body language) is difficult for me</t>
  </si>
  <si>
    <t>I like my belongings to be sorted in certain ways and will spend time making sure they are that way</t>
  </si>
  <si>
    <t>Social interaction is easy for me</t>
  </si>
  <si>
    <t>When interacting with other people, I spend a lot of effort monitoring how I am coming across</t>
  </si>
  <si>
    <t>I find social interactions stressful</t>
  </si>
  <si>
    <t>I am over-sensitive to touch</t>
  </si>
  <si>
    <t>I have a tendency to pace or move around in a repetitive path</t>
  </si>
  <si>
    <t>I rely on a set of scripts when I talk with people</t>
  </si>
  <si>
    <t>I find it easy to sense what someone else is feeling</t>
  </si>
  <si>
    <t>I am over-sensitive to particular tastes (e.g. salty, sour, spicy, or sweet)</t>
  </si>
  <si>
    <t>I engage in certain repetitive actions when I feel stressed</t>
  </si>
  <si>
    <t>I rarely use non-verbal cues in my interactions with others</t>
  </si>
  <si>
    <t>I feel confident or capable when meeting new people</t>
  </si>
  <si>
    <t>Before engaging in a social situation, I will create a script to follow where possible</t>
  </si>
  <si>
    <t>Social occasions are often challenging for me</t>
  </si>
  <si>
    <t>Sometimes the presence of a smell makes it hard for me to focus on anything else</t>
  </si>
  <si>
    <t>Metaphors or ‘figures of speech’ often confuse me</t>
  </si>
  <si>
    <t>It annoys me when plans I have made are changed</t>
  </si>
  <si>
    <t>I find it difficult to make new friends</t>
  </si>
  <si>
    <t>I react poorly to unexpected loud noises</t>
  </si>
  <si>
    <t>I have difficulty understanding someone else’s point-of-view</t>
  </si>
  <si>
    <t>I like to arrange items in rows or patterns</t>
  </si>
  <si>
    <t>I try to follow certain 'rules' in order to get by in social situations</t>
  </si>
  <si>
    <t>I feel discomfort when prevented from completing a particular routine</t>
  </si>
  <si>
    <t>I often insist on doing things in a certain way, or re-doing things until they are ‘just right’</t>
  </si>
  <si>
    <t>There are certain repetitive actions that others consider to be 'characteristic' of me (e.g. stroking my hair)</t>
  </si>
  <si>
    <t>I am sensitive to flickering lights</t>
  </si>
  <si>
    <t>I have certain habits that I find difficult to stop (e.g. biting/tearing nails, pulling strands of hair)</t>
  </si>
  <si>
    <t>I have difficulty understanding the 'unspoken rules' of social situations</t>
  </si>
  <si>
    <t>| 1 = Definitely Disagree | ---- | 2 = Somewhat Disagree | ---- | 3 = Neither Agree nor Disagree | ---- | 4 = Somewhat Agree | ---- | 5 = Definitely Agree |</t>
  </si>
  <si>
    <t>Sometimes I watch people interacting and try to copy them when I need to socialise</t>
  </si>
  <si>
    <t>I can tell how people feel from their facial expressions</t>
  </si>
  <si>
    <t>CATI</t>
  </si>
  <si>
    <t>ENTER item scores here (1-6)</t>
  </si>
  <si>
    <t>Abandonment</t>
  </si>
  <si>
    <t>Mistrust / Abuse</t>
  </si>
  <si>
    <t>Defectiveness / Shame</t>
  </si>
  <si>
    <t>Failure</t>
  </si>
  <si>
    <t>Dependence / Incompetence</t>
  </si>
  <si>
    <t>Enmeshment</t>
  </si>
  <si>
    <t>Subjugation</t>
  </si>
  <si>
    <t>Entitlement</t>
  </si>
  <si>
    <t>Negativity / Pessimism</t>
  </si>
  <si>
    <t>The expectation that others will not adequately meet one’s needs for nurturance and support</t>
  </si>
  <si>
    <t>The expectation that significant others will eventually abandon them</t>
  </si>
  <si>
    <t>The expectation that others will intentionally abuse, humiliate and manipulate them</t>
  </si>
  <si>
    <t>The feeling that one is isolated from the world and is not part of a community</t>
  </si>
  <si>
    <t>The belief that one is fundamentally flawed or unlovable</t>
  </si>
  <si>
    <t>The belief that one is fundamentally inadequate compared to others</t>
  </si>
  <si>
    <t>The feeling that one is reliant on others and is incapable of making everyday decisions on their own</t>
  </si>
  <si>
    <t>The belief that disaster can strike at any moment</t>
  </si>
  <si>
    <t>Excessive emotional involvement with others (usually parents) due to the belief that one cannot be happy/survive without the other resulting in the inability to form own identity</t>
  </si>
  <si>
    <t>Is the belief that one’s own personal desires are less important when compared to those of others</t>
  </si>
  <si>
    <t>Excessive or exaggerated expectations of duty to meet the needs of others at the expense of own fulfilment</t>
  </si>
  <si>
    <t>Fear of losing control of emotions or behaviour, resulting in negative consequences such as harm or embarrassment.</t>
  </si>
  <si>
    <t>The belief that the expression of emotion may lead to negative consequences such as harm or embarrassment</t>
  </si>
  <si>
    <t>The belief that one will be harshly criticised if they do not meet very high standards (often internalised standards) of performance or behaviour</t>
  </si>
  <si>
    <t>The belief that one is superior to others and is entitled to special privileges and rights</t>
  </si>
  <si>
    <t>The expectation that one is not capable of exercising self-discipline, frustration tolerance, or restrain excessive expression of emotions to achieve one’s goals</t>
  </si>
  <si>
    <t>Excessive focus on gaining the attention, recognition and approval of others at the expense of one’s own sense of self.</t>
  </si>
  <si>
    <t>A focus on the more negative aspects of life, whist neglecting or minimising the optimistic or positive or aspects.</t>
  </si>
  <si>
    <t>The belief that if they make mistakes they should be harshly punished</t>
  </si>
  <si>
    <t>The belief that other people who make mistakes should be harshly punished</t>
  </si>
  <si>
    <t>Erin M. Lloyd, BSc (Hons)</t>
  </si>
  <si>
    <t>Sheet links</t>
  </si>
  <si>
    <t>Not available</t>
  </si>
  <si>
    <t>Not elevated &lt; 6</t>
  </si>
  <si>
    <t>Not elevated &lt; 4</t>
  </si>
  <si>
    <t>Not elevated &lt; 134</t>
  </si>
  <si>
    <t>Lloyd &amp; Preece Psychometric Auto-Scorer</t>
  </si>
  <si>
    <t>The Lloyd &amp; Preece Psychometric Auto-Scorer is available to use for free, we hope you find it useful. The Lloyd &amp; Preece Psychometric Auto-Scorer is intended to be used by licensed health care professionals. Any use of this tool is the sole risk and responsibility of the user. By using the Lloyd &amp; Preece Psychometric Auto-Scorer, you agree to indemnify and hold blameless the developers and the Psychology Centre of Western Australia (and its directors, officers, affiliates, and employees) from any claims, damages, costs, actions, liabilities, or expenses arising from use of the Lloyd &amp; Preece Psychometric Auto-Scorer. It is the sole responsibility of the user to check and interpret all measure scores, and ensure they are suitably trained in each measure being administered. The descriptive labels provided for measure scores are not diagnoses; these are not diagnostic instruments. Scores are intended to be interpreted by licensed health care professionals as part of a comprehensive assessment.</t>
  </si>
  <si>
    <t>Depression Anxiety Stress Scales (DASS; Lovibond &amp; Lovibond, 1995)</t>
  </si>
  <si>
    <t>About the Lloyd &amp; Preece Psychometric Auto-Scorer</t>
  </si>
  <si>
    <t>The Lloyd &amp; Preece Psychometric Auto-Scorer was developed by:</t>
  </si>
  <si>
    <t>Other Notes:</t>
  </si>
  <si>
    <t>Measures of Emotional Functioning</t>
  </si>
  <si>
    <t>Higher scores indicate a higher level of ADHD symptoms</t>
  </si>
  <si>
    <t>Higher scores indicate a higher level of autistic traits</t>
  </si>
  <si>
    <t>| 1 = Never | ---- | 2 = Rarely | ---- | 3 = Sometimes | ---- | 4 = Often | ---- | 5 = Very often |</t>
  </si>
  <si>
    <t>Frequency of ADHD symptoms</t>
  </si>
  <si>
    <r>
      <t xml:space="preserve">Symptoms highly consistent with ADHD </t>
    </r>
    <r>
      <rPr>
        <u/>
        <sz val="12"/>
        <rFont val="Calibri"/>
        <family val="2"/>
        <scheme val="minor"/>
      </rPr>
      <t>&gt;</t>
    </r>
    <r>
      <rPr>
        <sz val="12"/>
        <rFont val="Calibri"/>
        <family val="2"/>
        <scheme val="minor"/>
      </rPr>
      <t xml:space="preserve"> 4</t>
    </r>
  </si>
  <si>
    <r>
      <t>Kessler, R. C., Adler, L., Ames, M., Demler, O., Faraone, S., Hiripi, E. V. A., ... &amp; Walters, E. E. (2005). The World Health Organization Adult ADHD Self-Report Scale (ASRS): a short screening scale for use in the general population. </t>
    </r>
    <r>
      <rPr>
        <i/>
        <sz val="11"/>
        <color rgb="FF222222"/>
        <rFont val="Calibri"/>
        <family val="2"/>
        <scheme val="minor"/>
      </rPr>
      <t>Psychological medicine</t>
    </r>
    <r>
      <rPr>
        <sz val="11"/>
        <color rgb="FF222222"/>
        <rFont val="Calibri"/>
        <family val="2"/>
        <scheme val="minor"/>
      </rPr>
      <t>, </t>
    </r>
    <r>
      <rPr>
        <i/>
        <sz val="11"/>
        <color rgb="FF222222"/>
        <rFont val="Calibri"/>
        <family val="2"/>
        <scheme val="minor"/>
      </rPr>
      <t>35</t>
    </r>
    <r>
      <rPr>
        <sz val="11"/>
        <color rgb="FF222222"/>
        <rFont val="Calibri"/>
        <family val="2"/>
        <scheme val="minor"/>
      </rPr>
      <t>(2), 245-256.</t>
    </r>
  </si>
  <si>
    <r>
      <t>Baron-Cohen, S., Wheelwright, S., Skinner, R., Martin, J., &amp; Clubley, E. (2001). The autism-spectrum quotient (AQ): Evidence from asperger syndrome/high-functioning autism, males and females, scientists and mathematicians.</t>
    </r>
    <r>
      <rPr>
        <i/>
        <sz val="12"/>
        <rFont val="Calibri"/>
        <family val="2"/>
        <scheme val="minor"/>
      </rPr>
      <t xml:space="preserve"> Journal of autism and developmental disorders</t>
    </r>
    <r>
      <rPr>
        <sz val="12"/>
        <rFont val="Calibri"/>
        <family val="2"/>
        <scheme val="minor"/>
      </rPr>
      <t>, 31(1), 5-17.</t>
    </r>
  </si>
  <si>
    <t>Overall autistic traits</t>
  </si>
  <si>
    <r>
      <t xml:space="preserve">Elevated autistic traits </t>
    </r>
    <r>
      <rPr>
        <u/>
        <sz val="12"/>
        <rFont val="Calibri"/>
        <family val="2"/>
        <scheme val="minor"/>
      </rPr>
      <t>&gt;</t>
    </r>
    <r>
      <rPr>
        <sz val="12"/>
        <rFont val="Calibri"/>
        <family val="2"/>
        <scheme val="minor"/>
      </rPr>
      <t xml:space="preserve"> 6</t>
    </r>
  </si>
  <si>
    <t>Autism-Spectrum Quotient (AQ)</t>
  </si>
  <si>
    <t>Autism-Spectrum Quotient-10 (AQ-10)</t>
  </si>
  <si>
    <r>
      <t xml:space="preserve">Elevated autistic traits </t>
    </r>
    <r>
      <rPr>
        <u/>
        <sz val="12"/>
        <rFont val="Calibri"/>
        <family val="2"/>
        <scheme val="minor"/>
      </rPr>
      <t>&gt;</t>
    </r>
    <r>
      <rPr>
        <sz val="12"/>
        <rFont val="Calibri"/>
        <family val="2"/>
        <scheme val="minor"/>
      </rPr>
      <t xml:space="preserve"> 134</t>
    </r>
  </si>
  <si>
    <t>Higher scores indicate higher levels of empathy.</t>
  </si>
  <si>
    <t>Score descriptions based on standardised cut-off values</t>
  </si>
  <si>
    <r>
      <rPr>
        <sz val="12"/>
        <rFont val="Calibri"/>
        <family val="2"/>
        <scheme val="minor"/>
      </rPr>
      <t>Brett, J. D., Becerra, R., Maybery, M. T., &amp; Preece, D. A. (2022). The Psychometric Assessment of Empathy: Development and Validation of the Perth Empathy Scale.</t>
    </r>
    <r>
      <rPr>
        <i/>
        <sz val="12"/>
        <rFont val="Calibri"/>
        <family val="2"/>
        <scheme val="minor"/>
      </rPr>
      <t xml:space="preserve"> Assessment</t>
    </r>
    <r>
      <rPr>
        <sz val="12"/>
        <rFont val="Calibri"/>
        <family val="2"/>
        <scheme val="minor"/>
      </rPr>
      <t>.</t>
    </r>
  </si>
  <si>
    <t>Difficulties switching attention away from interests, focusing on multiple things at once, or deviating from usual routines.</t>
  </si>
  <si>
    <t>Tendency to focus on, or notice, fine details (e.g., numbers, patterns).</t>
  </si>
  <si>
    <t>Difficulties interacting with others socially, making friends, or a dislike of social gatherings.</t>
  </si>
  <si>
    <t>Difficulties with imagination (e.g., difficulties creating visual imagery in one's mind, creating or understanding stories, or pretending to be other people)</t>
  </si>
  <si>
    <t>Difficulties interacting with others socially, difficulty meeting new people or making friends, difficulty attending social gatherings.</t>
  </si>
  <si>
    <t>Difficulties understanding the non-verbal and verbal communications of others.</t>
  </si>
  <si>
    <t>A tendency to like to stick to the same types of routines and patterns, or discomfort when deviating from these.</t>
  </si>
  <si>
    <t>A tendency to try to copy the interaction patterns of others, or use prepared strategies, rules, or scripts to try to function better socially.</t>
  </si>
  <si>
    <t>A tendency to do repetitive actions or behaviours (e.g., playing repetitively with objects, rocking, stroking hair, pacing).</t>
  </si>
  <si>
    <t>Over-sensitivity to sensory stimuli (e.g., flickering or bright lights, smells, unexpected loud noises, touch, tastes)</t>
  </si>
  <si>
    <t>Difficulties communicating or having effective, polite, flowing conversations.</t>
  </si>
  <si>
    <r>
      <t xml:space="preserve">Kessler, R. C., Barker, P. R., Colpe, L. J., Epstein, J. F., Gfroerer, J. C., Hiripi, E., ... &amp; Zaslavsky, A. M. (2003). Screening for serious mental illness in the general population. </t>
    </r>
    <r>
      <rPr>
        <i/>
        <sz val="12"/>
        <color theme="1"/>
        <rFont val="Calibri"/>
        <family val="2"/>
        <scheme val="minor"/>
      </rPr>
      <t>Archives of general psychiatry</t>
    </r>
    <r>
      <rPr>
        <sz val="12"/>
        <color theme="1"/>
        <rFont val="Calibri"/>
        <family val="2"/>
        <scheme val="minor"/>
      </rPr>
      <t>, 60(2), 184-189.</t>
    </r>
  </si>
  <si>
    <r>
      <t xml:space="preserve">Spitzer, R. L., Kroenke, K., Williams, J. B., &amp; Löwe, B. (2006). A brief measure for assessing generalized anxiety disorder: the GAD-7. </t>
    </r>
    <r>
      <rPr>
        <i/>
        <sz val="12"/>
        <color theme="1"/>
        <rFont val="Calibri"/>
        <family val="2"/>
        <scheme val="minor"/>
      </rPr>
      <t>Archives of internal medicine</t>
    </r>
    <r>
      <rPr>
        <sz val="12"/>
        <color theme="1"/>
        <rFont val="Calibri"/>
        <family val="2"/>
        <scheme val="minor"/>
      </rPr>
      <t>, 166(10), 1092-1097.</t>
    </r>
  </si>
  <si>
    <r>
      <t xml:space="preserve">Kroenke K, Spitzer R L, Williams J B (2001). The PHQ-9: validity of a brief depression severity measure. </t>
    </r>
    <r>
      <rPr>
        <i/>
        <sz val="12"/>
        <color theme="1"/>
        <rFont val="Calibri"/>
        <family val="2"/>
        <scheme val="minor"/>
      </rPr>
      <t>Journal of General Internal Medicine</t>
    </r>
    <r>
      <rPr>
        <sz val="12"/>
        <color theme="1"/>
        <rFont val="Calibri"/>
        <family val="2"/>
        <scheme val="minor"/>
      </rPr>
      <t>, 16(9): 606-613.</t>
    </r>
  </si>
  <si>
    <r>
      <t>Kessler, R. C., Adler, L., Ames, M., Demler, O., Faraone, S., Hiripi, E. V. A., ... &amp; Walters, E. E. (2005). The World Health Organization Adult ADHD Self-Report Scale (ASRS): a short screening scale for use in the general population.</t>
    </r>
    <r>
      <rPr>
        <i/>
        <sz val="12"/>
        <rFont val="Calibri"/>
        <family val="2"/>
        <scheme val="minor"/>
      </rPr>
      <t> Psychological medicine</t>
    </r>
    <r>
      <rPr>
        <sz val="12"/>
        <rFont val="Calibri"/>
        <family val="2"/>
        <scheme val="minor"/>
      </rPr>
      <t>, 35(2), 245-256.</t>
    </r>
  </si>
  <si>
    <r>
      <t xml:space="preserve">Baron-Cohen, S., Wheelwright, S., Skinner, R., Martin, J., &amp; Clubley, E. (2001). The autism-spectrum quotient (AQ): Evidence from asperger syndrome/high-functioning autism, males and females, scientists and mathematicians. </t>
    </r>
    <r>
      <rPr>
        <i/>
        <sz val="12"/>
        <rFont val="Calibri"/>
        <family val="2"/>
        <scheme val="minor"/>
      </rPr>
      <t>Journal of autism and developmental disorders</t>
    </r>
    <r>
      <rPr>
        <sz val="12"/>
        <rFont val="Calibri"/>
        <family val="2"/>
        <scheme val="minor"/>
      </rPr>
      <t>, 31(1), 5-17.</t>
    </r>
  </si>
  <si>
    <r>
      <t>Allison, C., Auyeung, B., &amp; Baron-Cohen, S. (2012). Toward brief “red flags” for autism screening: the short autism spectrum quotient and the short quantitative checklist in 1,000 cases and 3,000 controls. </t>
    </r>
    <r>
      <rPr>
        <i/>
        <sz val="12"/>
        <rFont val="Calibri"/>
        <family val="2"/>
        <scheme val="minor"/>
      </rPr>
      <t>Journal of the American Academy of Child &amp; Adolescent Psychiatry</t>
    </r>
    <r>
      <rPr>
        <sz val="12"/>
        <rFont val="Calibri"/>
        <family val="2"/>
        <scheme val="minor"/>
      </rPr>
      <t>, 51(2), 202-212.</t>
    </r>
  </si>
  <si>
    <r>
      <t>English, M. C., Gignac, G. E., Visser, T. A., Whitehouse, A. J., Enns, J. T., &amp; Maybery, M. T. (2021). The Comprehensive Autistic Trait Inventory (CATI): development and validation of a new measure of autistic traits in the general population. </t>
    </r>
    <r>
      <rPr>
        <i/>
        <sz val="12"/>
        <rFont val="Calibri"/>
        <family val="2"/>
        <scheme val="minor"/>
      </rPr>
      <t>Molecular autism</t>
    </r>
    <r>
      <rPr>
        <sz val="12"/>
        <rFont val="Calibri"/>
        <family val="2"/>
        <scheme val="minor"/>
      </rPr>
      <t>, 12(1), 1-23.</t>
    </r>
  </si>
  <si>
    <t>Download PES pdf</t>
  </si>
  <si>
    <t>Download ASRS pdf</t>
  </si>
  <si>
    <t>Download AQ pdf</t>
  </si>
  <si>
    <t>Download AQ-10 pdf</t>
  </si>
  <si>
    <t>Download CATI pdf</t>
  </si>
  <si>
    <r>
      <rPr>
        <i/>
        <sz val="12"/>
        <rFont val="Calibri"/>
        <family val="2"/>
        <scheme val="minor"/>
      </rPr>
      <t>For other measures, their standardised scoring procedure involves established cut-off scores for different levels of symptom severity</t>
    </r>
    <r>
      <rPr>
        <sz val="12"/>
        <rFont val="Calibri"/>
        <family val="2"/>
        <scheme val="minor"/>
      </rPr>
      <t xml:space="preserve"> (e.g., 'normal', 'mild', 'moderate', and 'severe' categories) (i.e., DASS, DASS-21, DSM-5, GAD-7, PHQ-9, AUDIT, ASRS, AQ, AQ-10, CATI). For these measures, no z-score is provided, we instead use these established cut-off scores and labels for score interpretations. For these measures, the z-score column will say 'NA'.</t>
    </r>
  </si>
  <si>
    <t>The Psychology Centre of Western Australia</t>
  </si>
  <si>
    <t>Download DASS pdf</t>
  </si>
  <si>
    <t>Comprehensive Autistic Trait Inventory (CATI; English et al., 2021)</t>
  </si>
  <si>
    <t>Autism-Spectrum Quotient (AQ; Baron-Cohen et al., 2001)</t>
  </si>
  <si>
    <t>Autism-Spectrum Quotient-10 (AQ-10; Allison et al., 2012)</t>
  </si>
  <si>
    <t>Adult ADHD Self-Report Scale (ASRS; Kessler et al., 2005)</t>
  </si>
  <si>
    <t>Imagination</t>
  </si>
  <si>
    <t>Not elevated &lt; 32</t>
  </si>
  <si>
    <r>
      <t xml:space="preserve">Elevated autistic traits </t>
    </r>
    <r>
      <rPr>
        <u/>
        <sz val="12"/>
        <rFont val="Calibri"/>
        <family val="2"/>
        <scheme val="minor"/>
      </rPr>
      <t>&gt;</t>
    </r>
    <r>
      <rPr>
        <sz val="12"/>
        <rFont val="Calibri"/>
        <family val="2"/>
        <scheme val="minor"/>
      </rPr>
      <t xml:space="preserve"> 32</t>
    </r>
  </si>
  <si>
    <t>Score range (Total)</t>
  </si>
  <si>
    <r>
      <t>Depression:</t>
    </r>
    <r>
      <rPr>
        <sz val="12"/>
        <color rgb="FF000000"/>
        <rFont val="Calibri"/>
        <family val="2"/>
        <scheme val="minor"/>
      </rPr>
      <t xml:space="preserve"> Normal = 0-4, Mild = 5-6, Moderate = 7-10, Severe = 11-13, Extremely Severe = 14+</t>
    </r>
  </si>
  <si>
    <r>
      <t xml:space="preserve">Anxiety: </t>
    </r>
    <r>
      <rPr>
        <sz val="12"/>
        <color rgb="FF000000"/>
        <rFont val="Calibri"/>
        <family val="2"/>
        <scheme val="minor"/>
      </rPr>
      <t>Normal = 0-3, Mild = 4-5, Moderate = 6-7, Severe = 8-9, Extremely Severe = 10+</t>
    </r>
  </si>
  <si>
    <r>
      <t>Stress:</t>
    </r>
    <r>
      <rPr>
        <sz val="12"/>
        <color rgb="FF000000"/>
        <rFont val="Calibri"/>
        <family val="2"/>
        <scheme val="minor"/>
      </rPr>
      <t xml:space="preserve"> Normal = 0-7, Mild = 8-9, Moderate = 10-12, Severe = 13-16, Extremely Severe = 17+</t>
    </r>
  </si>
  <si>
    <r>
      <rPr>
        <b/>
        <sz val="12"/>
        <color theme="1"/>
        <rFont val="Calibri"/>
        <family val="2"/>
        <scheme val="minor"/>
      </rPr>
      <t>Depression:</t>
    </r>
    <r>
      <rPr>
        <sz val="12"/>
        <color theme="1"/>
        <rFont val="Calibri"/>
        <family val="2"/>
        <scheme val="minor"/>
      </rPr>
      <t xml:space="preserve"> Normal = 0-9, Mild = 10-13, Moderate = 14-20, Severe = 21-27, Extremely Severe = 28+</t>
    </r>
  </si>
  <si>
    <r>
      <rPr>
        <b/>
        <sz val="12"/>
        <color theme="1"/>
        <rFont val="Calibri"/>
        <family val="2"/>
        <scheme val="minor"/>
      </rPr>
      <t>Anxiety:</t>
    </r>
    <r>
      <rPr>
        <sz val="12"/>
        <color theme="1"/>
        <rFont val="Calibri"/>
        <family val="2"/>
        <scheme val="minor"/>
      </rPr>
      <t xml:space="preserve"> Normal = 0-7, Mild = 8-9, Moderate = 10-14, Severe = 15-19, Extremely Severe = 20+</t>
    </r>
  </si>
  <si>
    <r>
      <rPr>
        <b/>
        <sz val="12"/>
        <color theme="1"/>
        <rFont val="Calibri"/>
        <family val="2"/>
        <scheme val="minor"/>
      </rPr>
      <t>Stress:</t>
    </r>
    <r>
      <rPr>
        <sz val="12"/>
        <color theme="1"/>
        <rFont val="Calibri"/>
        <family val="2"/>
        <scheme val="minor"/>
      </rPr>
      <t xml:space="preserve"> Normal = 0-14, Mild = 15-18, Moderate = 19-25, Severe = 26-33, Extremely Severe = 34+</t>
    </r>
  </si>
  <si>
    <r>
      <t>Brett, J. D., Becerra, R., Maybery, M. T., &amp; Preece, D. A. (2022). The Psychometric Assessment of Empathy: Development and Validation of the Perth Empathy Scale. </t>
    </r>
    <r>
      <rPr>
        <i/>
        <sz val="12"/>
        <color rgb="FF222222"/>
        <rFont val="Calibri"/>
        <family val="2"/>
        <scheme val="minor"/>
      </rPr>
      <t>Assessment.</t>
    </r>
  </si>
  <si>
    <r>
      <t>Allison, C., Auyeung, B., &amp; Baron-Cohen, S. (2012). Toward brief “red flags” for autism screening: the short autism spectrum quotient and the short quantitative checklist in 1,000 cases and 3,000 controls. </t>
    </r>
    <r>
      <rPr>
        <i/>
        <sz val="12"/>
        <color rgb="FF222222"/>
        <rFont val="Calibri"/>
        <family val="2"/>
        <scheme val="minor"/>
      </rPr>
      <t>Journal of the American Academy of Child &amp; Adolescent Psychiatry</t>
    </r>
    <r>
      <rPr>
        <sz val="12"/>
        <color rgb="FF222222"/>
        <rFont val="Calibri"/>
        <family val="2"/>
        <scheme val="minor"/>
      </rPr>
      <t>, </t>
    </r>
    <r>
      <rPr>
        <i/>
        <sz val="12"/>
        <color rgb="FF222222"/>
        <rFont val="Calibri"/>
        <family val="2"/>
        <scheme val="minor"/>
      </rPr>
      <t>51</t>
    </r>
    <r>
      <rPr>
        <sz val="12"/>
        <color rgb="FF222222"/>
        <rFont val="Calibri"/>
        <family val="2"/>
        <scheme val="minor"/>
      </rPr>
      <t>(2), 202-212.</t>
    </r>
  </si>
  <si>
    <r>
      <t>English, M. C., Gignac, G. E., Visser, T. A., Whitehouse, A. J., Enns, J. T., &amp; Maybery, M. T. (2021). The Comprehensive Autistic Trait Inventory (CATI): development and validation of a new measure of autistic traits in the general population. </t>
    </r>
    <r>
      <rPr>
        <i/>
        <sz val="12"/>
        <color rgb="FF222222"/>
        <rFont val="Calibri"/>
        <family val="2"/>
      </rPr>
      <t>Molecular autism</t>
    </r>
    <r>
      <rPr>
        <sz val="12"/>
        <color rgb="FF222222"/>
        <rFont val="Calibri"/>
        <family val="2"/>
      </rPr>
      <t>, </t>
    </r>
    <r>
      <rPr>
        <i/>
        <sz val="12"/>
        <color rgb="FF222222"/>
        <rFont val="Calibri"/>
        <family val="2"/>
      </rPr>
      <t>12</t>
    </r>
    <r>
      <rPr>
        <sz val="12"/>
        <color rgb="FF222222"/>
        <rFont val="Calibri"/>
        <family val="2"/>
      </rPr>
      <t>(1), 1-23.</t>
    </r>
  </si>
  <si>
    <t>Perth Alexithymia Questionnaire-Short Form (PAQ-S)</t>
  </si>
  <si>
    <t>This questionnaire asks about how you perceive and experience your emotions. Please score the following statements according to how much you agree or disagree that the statement is true of you. Circle one answer for each statement. Some questions mention bad or unpleasant emotions, this means emotions like sadness, anger, or fear. Some questions mention good or pleasant emotions, this means emotions like happiness, amusement, or excitement.</t>
  </si>
  <si>
    <t>PAQ_S</t>
  </si>
  <si>
    <t>Total sample (N = 508)</t>
  </si>
  <si>
    <t>6-42</t>
  </si>
  <si>
    <t>Perth Alexithymia Questionnaire-Short Form (PAQ-S; Preece et al., 2023)</t>
  </si>
  <si>
    <t>EDE_Q</t>
  </si>
  <si>
    <t>Eating Disorder Examination Questionnaire (EDE-Q)</t>
  </si>
  <si>
    <t>PCL_5</t>
  </si>
  <si>
    <t>Eating Disorder Examination Questionnaire-Short (EDE-QS)</t>
  </si>
  <si>
    <t>PTSD Checklist for DSM-5 (PCL-5)</t>
  </si>
  <si>
    <t>Process Model of Emotion Regulation Questionnaire (PMERQ)</t>
  </si>
  <si>
    <t>EDE-Q</t>
  </si>
  <si>
    <t>PCL-5</t>
  </si>
  <si>
    <t>EDE-QS</t>
  </si>
  <si>
    <t>PAQ-S</t>
  </si>
  <si>
    <t>PMERQ</t>
  </si>
  <si>
    <t>EDE_QS</t>
  </si>
  <si>
    <t>| 0 = Not at all | ---- | 1 = A little bit | ---- | 2 = Moderately | ---- | 3 = Quite a bit | ---- | 4 = Extremely |</t>
  </si>
  <si>
    <t>Instructions: Below is a list of problems that people sometimes have in response to a very stressful experience. Please read each problem carefully and then circle one of the numbers to the right to indicate how much you have been bothered by that problem in the past month.</t>
  </si>
  <si>
    <t xml:space="preserve">Repeated, disturbing, and unwanted memories of the stressful experience? </t>
  </si>
  <si>
    <t xml:space="preserve">Repeated, disturbing dreams of the stressful experience? </t>
  </si>
  <si>
    <t xml:space="preserve">Suddenly feeling or acting as if the stressful experience were actually happening again (as if you were actually back there reliving it)? </t>
  </si>
  <si>
    <t xml:space="preserve">Feeling very upset when something reminded you of the stressful experience? </t>
  </si>
  <si>
    <t xml:space="preserve">Having strong physical reactions when something reminded you of the stressful experience (for example, heart pounding, trouble breathing, sweating)? </t>
  </si>
  <si>
    <t xml:space="preserve">Avoiding memories, thoughts, or feelings related to the stressful experience? </t>
  </si>
  <si>
    <t xml:space="preserve">Avoiding external reminders of the stressful experience (for example, people, places, conversations, activities, objects, or situations)? </t>
  </si>
  <si>
    <t xml:space="preserve">Trouble remembering important parts of the stressful experience? </t>
  </si>
  <si>
    <t>Having strong negative beliefs about yourself, other people, or the world (for example, having thoughts such as: I am bad, there is something seriously wrong with me, no one can be trusted, the world is completely dangerous)?</t>
  </si>
  <si>
    <t xml:space="preserve">Blaming yourself or someone else for the stressful experience or what happened after it? </t>
  </si>
  <si>
    <t xml:space="preserve">Having strong negative feelings such as fear, horror, anger, guilt, or shame? </t>
  </si>
  <si>
    <t xml:space="preserve">Loss of interest in activities that you used to enjoy? </t>
  </si>
  <si>
    <t>Feeling distant or cut off from other people?</t>
  </si>
  <si>
    <t xml:space="preserve">Trouble experiencing positive feelings (for example, being unable to feel happiness or have loving feelings for people close to you)? </t>
  </si>
  <si>
    <t>Irritable behavior, angry outbursts, or acting aggressively?</t>
  </si>
  <si>
    <t xml:space="preserve">Taking too many risks or doing things that could cause you harm? </t>
  </si>
  <si>
    <t>Being “superalert” or watchful or on guard?</t>
  </si>
  <si>
    <t xml:space="preserve">Feeling jumpy or easily startled? </t>
  </si>
  <si>
    <t xml:space="preserve">Having difficulty concentrating? </t>
  </si>
  <si>
    <t>Trouble falling or staying asleep?</t>
  </si>
  <si>
    <t>Please read each statement and circle a number 0, 1, 2 or 3 which indicates how much the statement applied to you over the past week. There are no right or wrong answers. Do not spend too much time on any statement. The rating scale is as follows:</t>
  </si>
  <si>
    <t xml:space="preserve">Please answer the questions below, rating yourself on each of the criteria shown using the scale on the right side of the page. As you answer each question, place an X in the box that best describes how you have felt and conducted yourself over the past 6 months.		</t>
  </si>
  <si>
    <t>Not elevated ≤ 30</t>
  </si>
  <si>
    <r>
      <t xml:space="preserve">Clinically elevated PTSD symptoms </t>
    </r>
    <r>
      <rPr>
        <u/>
        <sz val="12"/>
        <rFont val="Calibri"/>
        <family val="2"/>
        <scheme val="minor"/>
      </rPr>
      <t>&gt;</t>
    </r>
    <r>
      <rPr>
        <sz val="12"/>
        <rFont val="Calibri"/>
        <family val="2"/>
        <scheme val="minor"/>
      </rPr>
      <t xml:space="preserve"> 31</t>
    </r>
  </si>
  <si>
    <t>Restraint</t>
  </si>
  <si>
    <t>Eating concern</t>
  </si>
  <si>
    <t>Shape concern</t>
  </si>
  <si>
    <t>Weight concern</t>
  </si>
  <si>
    <t>Not elevated &lt; 2.8</t>
  </si>
  <si>
    <r>
      <t xml:space="preserve">Clinically elevated eating disorder symptoms </t>
    </r>
    <r>
      <rPr>
        <u/>
        <sz val="12"/>
        <rFont val="Calibri"/>
        <family val="2"/>
        <scheme val="minor"/>
      </rPr>
      <t>&gt;</t>
    </r>
    <r>
      <rPr>
        <sz val="12"/>
        <rFont val="Calibri"/>
        <family val="2"/>
        <scheme val="minor"/>
      </rPr>
      <t xml:space="preserve"> 2.8</t>
    </r>
  </si>
  <si>
    <t>ENTER item scores here (0-6)</t>
  </si>
  <si>
    <t>Questions 19 to 21: Please circle the appropriate number. Please note that for these questions the term “binge eating” means eating what others would regard as an unusually large amount of food for the circumstances, accompanied by a sense of having lost control overeating.</t>
  </si>
  <si>
    <t>Questions 22 to 28: Please circle the appropriate number on the right. Remember that the questions only refer to the past four weeks (28 days).</t>
  </si>
  <si>
    <t>Questions 1 to 12: Please circle the appropriate number on the right. Remember that the questions only refer to the past four weeks (28 days) only.</t>
  </si>
  <si>
    <t>Instructions: The following questions are concerned with the past four weeks (28 days) only. Please read each question carefully. Please answer all the questions. Thank you.</t>
  </si>
  <si>
    <t xml:space="preserve">| 0 = No days | ---- | 1 = 1-5 days | ---- | 2 = 6-12 days | ---- | 3 = 13-15 days | ---- | 4 = 16-22 days | ---- | 5 = 23-27 days | ---- | 6 = Every day |	</t>
  </si>
  <si>
    <t xml:space="preserve">| 0-1 = Not at all markedly | ---- | 2-3 = Slightly | ---- | 4-6 = Moderately |	</t>
  </si>
  <si>
    <r>
      <t xml:space="preserve">Clinically elevated eating disorder symptoms </t>
    </r>
    <r>
      <rPr>
        <u/>
        <sz val="12"/>
        <rFont val="Calibri"/>
        <family val="2"/>
        <scheme val="minor"/>
      </rPr>
      <t>&gt;</t>
    </r>
    <r>
      <rPr>
        <sz val="12"/>
        <rFont val="Calibri"/>
        <family val="2"/>
        <scheme val="minor"/>
      </rPr>
      <t xml:space="preserve"> 15</t>
    </r>
  </si>
  <si>
    <t>Not elevated ≤ 14</t>
  </si>
  <si>
    <t>Questions 1 to 10: On how many of the past 7 days:</t>
  </si>
  <si>
    <t>| 0 = 0 days | ---- | 1 = 1-2 days | ---- | 2 = 3-5 days | ---- | 3 = 6-7 days |</t>
  </si>
  <si>
    <t>| 0 = Not at all | ---- | 1 = Slightly | ---- | 2 = Moderately | ---- | 3 = Markedly |</t>
  </si>
  <si>
    <t>Have you gone for long periods of time (e.g., 8 or more waking hours) without eating anything at all in order to influence your weight or shape?</t>
  </si>
  <si>
    <t>Has your weight or shape influenced how you think about (judge) yourself as a person?</t>
  </si>
  <si>
    <t>How dissatisfied have you been with your weight or shape?</t>
  </si>
  <si>
    <t xml:space="preserve">Have you had a definite fear that you might gain weight? </t>
  </si>
  <si>
    <t>Have you had a strong desire to lose weight?</t>
  </si>
  <si>
    <t>Have you tried to control your weight or shape by making yourself sick (vomit) or taking laxatives?</t>
  </si>
  <si>
    <t>Have you exercised in a driven or compulsive way as a means of controlling your weight, shape or body fat, or to burn off calories?</t>
  </si>
  <si>
    <t>Have you had a sense of having lost control over your eating (at the time that you were eating)?</t>
  </si>
  <si>
    <t>Questions 11 to 12: Over the past 7 days:</t>
  </si>
  <si>
    <t>Subscale</t>
  </si>
  <si>
    <t xml:space="preserve">Have you gone for long periods of time (8 waking hours or more) without eating anything at all in order to influence your shape or weight? </t>
  </si>
  <si>
    <t xml:space="preserve">Have you tried to follow definite rules regarding your eating (for example, a calorie limit) in order to influence your shape or weight (whether or not you have succeeded)? </t>
  </si>
  <si>
    <t xml:space="preserve">Has thinking about food, eating or calories made it very difficult to concentrate on things you are interested in (for example, working, following a conversation, or reading)? </t>
  </si>
  <si>
    <t xml:space="preserve">Has thinking about shape or weight made it very difficult to concentrate on things you are interested in (for example, working, following a conversation, or reading)? </t>
  </si>
  <si>
    <t xml:space="preserve">Have you had a definite fear of losing control overeating? </t>
  </si>
  <si>
    <t xml:space="preserve">Have you felt fat? </t>
  </si>
  <si>
    <r>
      <t xml:space="preserve">Have you been deliberately </t>
    </r>
    <r>
      <rPr>
        <b/>
        <sz val="12"/>
        <color theme="1"/>
        <rFont val="Calibri"/>
        <family val="2"/>
        <scheme val="minor"/>
      </rPr>
      <t>trying</t>
    </r>
    <r>
      <rPr>
        <sz val="12"/>
        <color theme="1"/>
        <rFont val="Calibri"/>
        <family val="2"/>
        <scheme val="minor"/>
      </rPr>
      <t xml:space="preserve"> to limit the amount of food you eat to influence your shape or weight (whether or not you have succeeded)? </t>
    </r>
  </si>
  <si>
    <r>
      <t xml:space="preserve">Have you </t>
    </r>
    <r>
      <rPr>
        <b/>
        <sz val="12"/>
        <color theme="1"/>
        <rFont val="Calibri"/>
        <family val="2"/>
        <scheme val="minor"/>
      </rPr>
      <t>tried</t>
    </r>
    <r>
      <rPr>
        <sz val="12"/>
        <color theme="1"/>
        <rFont val="Calibri"/>
        <family val="2"/>
        <scheme val="minor"/>
      </rPr>
      <t xml:space="preserve"> to exclude from your diet any foods that you like in order to influence your shape or weight (whether or not you have succeeded)? </t>
    </r>
  </si>
  <si>
    <r>
      <t xml:space="preserve">Have you had a definite desire to have an </t>
    </r>
    <r>
      <rPr>
        <b/>
        <sz val="12"/>
        <color theme="1"/>
        <rFont val="Calibri"/>
        <family val="2"/>
        <scheme val="minor"/>
      </rPr>
      <t>empty</t>
    </r>
    <r>
      <rPr>
        <sz val="12"/>
        <color theme="1"/>
        <rFont val="Calibri"/>
        <family val="2"/>
        <scheme val="minor"/>
      </rPr>
      <t xml:space="preserve"> stomach with the aim of influencing your shape or weight? </t>
    </r>
  </si>
  <si>
    <r>
      <t xml:space="preserve">Have you had a definite desire to have a </t>
    </r>
    <r>
      <rPr>
        <b/>
        <sz val="12"/>
        <color theme="1"/>
        <rFont val="Calibri"/>
        <family val="2"/>
        <scheme val="minor"/>
      </rPr>
      <t xml:space="preserve">totally flat </t>
    </r>
    <r>
      <rPr>
        <sz val="12"/>
        <color theme="1"/>
        <rFont val="Calibri"/>
        <family val="2"/>
        <scheme val="minor"/>
      </rPr>
      <t>stomach</t>
    </r>
  </si>
  <si>
    <t xml:space="preserve">… On how many of these times did you have a sense of having lost control over your eating (at the time you were eating)? </t>
  </si>
  <si>
    <r>
      <rPr>
        <b/>
        <sz val="12"/>
        <color theme="1"/>
        <rFont val="Calibri"/>
        <family val="2"/>
        <scheme val="minor"/>
      </rPr>
      <t>Over the past 28 days, how many</t>
    </r>
    <r>
      <rPr>
        <sz val="12"/>
        <color theme="1"/>
        <rFont val="Calibri"/>
        <family val="2"/>
        <scheme val="minor"/>
      </rPr>
      <t xml:space="preserve"> times </t>
    </r>
    <r>
      <rPr>
        <b/>
        <sz val="12"/>
        <color theme="1"/>
        <rFont val="Calibri"/>
        <family val="2"/>
        <scheme val="minor"/>
      </rPr>
      <t>have you eaten what other people would regards</t>
    </r>
    <r>
      <rPr>
        <sz val="12"/>
        <color theme="1"/>
        <rFont val="Calibri"/>
        <family val="2"/>
        <scheme val="minor"/>
      </rPr>
      <t xml:space="preserve"> as an unusually large amount of food (</t>
    </r>
    <r>
      <rPr>
        <b/>
        <sz val="12"/>
        <color theme="1"/>
        <rFont val="Calibri"/>
        <family val="2"/>
        <scheme val="minor"/>
      </rPr>
      <t>given the circumstances</t>
    </r>
    <r>
      <rPr>
        <sz val="12"/>
        <color theme="1"/>
        <rFont val="Calibri"/>
        <family val="2"/>
        <scheme val="minor"/>
      </rPr>
      <t xml:space="preserve">)? </t>
    </r>
  </si>
  <si>
    <r>
      <t xml:space="preserve">Over the past 28 days, on how many </t>
    </r>
    <r>
      <rPr>
        <b/>
        <sz val="12"/>
        <color theme="1"/>
        <rFont val="Calibri"/>
        <family val="2"/>
        <scheme val="minor"/>
      </rPr>
      <t>DAYS</t>
    </r>
    <r>
      <rPr>
        <sz val="12"/>
        <color theme="1"/>
        <rFont val="Calibri"/>
        <family val="2"/>
        <scheme val="minor"/>
      </rPr>
      <t xml:space="preserve"> have such episodes of overeating occurred (i.e. you have eaten an unusually large amount of food and have had a sense of loss of control at the time)? </t>
    </r>
  </si>
  <si>
    <r>
      <t xml:space="preserve">Over the past 28 days, how many </t>
    </r>
    <r>
      <rPr>
        <b/>
        <sz val="12"/>
        <color theme="1"/>
        <rFont val="Calibri"/>
        <family val="2"/>
        <scheme val="minor"/>
      </rPr>
      <t>times</t>
    </r>
    <r>
      <rPr>
        <sz val="12"/>
        <color theme="1"/>
        <rFont val="Calibri"/>
        <family val="2"/>
        <scheme val="minor"/>
      </rPr>
      <t xml:space="preserve"> have you made yourself sick (vomit) as a means of controlling your shape or weight? </t>
    </r>
  </si>
  <si>
    <r>
      <t xml:space="preserve">Over the past 28 days, how many </t>
    </r>
    <r>
      <rPr>
        <b/>
        <sz val="12"/>
        <color theme="1"/>
        <rFont val="Calibri"/>
        <family val="2"/>
        <scheme val="minor"/>
      </rPr>
      <t>times</t>
    </r>
    <r>
      <rPr>
        <sz val="12"/>
        <color theme="1"/>
        <rFont val="Calibri"/>
        <family val="2"/>
        <scheme val="minor"/>
      </rPr>
      <t xml:space="preserve"> have you taken laxatives as a means of controlling your shape or weight? </t>
    </r>
  </si>
  <si>
    <r>
      <t xml:space="preserve">Over the past 28 days, how many </t>
    </r>
    <r>
      <rPr>
        <b/>
        <sz val="12"/>
        <color theme="1"/>
        <rFont val="Calibri"/>
        <family val="2"/>
        <scheme val="minor"/>
      </rPr>
      <t>times</t>
    </r>
    <r>
      <rPr>
        <sz val="12"/>
        <color theme="1"/>
        <rFont val="Calibri"/>
        <family val="2"/>
        <scheme val="minor"/>
      </rPr>
      <t xml:space="preserve"> have you exercised in a “driven” or “compulsive” way as a means of controlling your weight, shape or amount of fat, or to burn off calories? </t>
    </r>
  </si>
  <si>
    <t xml:space="preserve">Over the past 28 days, on how many days have you eaten in secret (i.e., furtively)? … Do not count episodes of binge eating. </t>
  </si>
  <si>
    <t>Has your weight influenced how you think about (judge) yourself as a person?</t>
  </si>
  <si>
    <t>Has your shape influenced how you think about (judge) yourself as a person?</t>
  </si>
  <si>
    <t>How much would it have upset you if you had been asked to weigh yourself once a week (no more, or less, often) for the next four weeks?</t>
  </si>
  <si>
    <t>How dissatisfied have you been with your weight?</t>
  </si>
  <si>
    <t>How dissatisfied have you been with your shape?</t>
  </si>
  <si>
    <t>How uncomfortable have you felt seeing your body (for example, seeing your shape in the mirror, in a shop window reflection, while undressing or taking a bath or shower)?</t>
  </si>
  <si>
    <t>How uncomfortable have you felt about others seeing your shape or figure (for example, in communal changing rooms, when swimming, or wearing tight clothes)?</t>
  </si>
  <si>
    <t>We are interested in which strategies people use to regulate their emotions, specifically to decrease the negative emotion that they feel. Please rate your agreement with the following statements using the response options listed below. There is no right or wrong answer.</t>
  </si>
  <si>
    <t>| 1 = Strongly Disagree | ---- | 2 = Disagree | ---- | 3 = Somewhat disagree| ---- | 4 = Somewhat agree | ---- | 5 = Agree | ---- | 6 = Strongly Agree |</t>
  </si>
  <si>
    <t xml:space="preserve">To calm down, I do not show others how I feel. </t>
  </si>
  <si>
    <t>I concentrate on the least negative aspects of an upsetting situation, to feel less upset.</t>
  </si>
  <si>
    <t>To feel less anxious during a conflict, I move the conversation to another topic.</t>
  </si>
  <si>
    <t>To feel less anxious, I avoid stressful situations.</t>
  </si>
  <si>
    <t>I avoid situations others tell me will be unpleasant, to feel less bad.</t>
  </si>
  <si>
    <t>I work to negotiate a resolution to conflicts I have with others, to decrease how bad I feel.</t>
  </si>
  <si>
    <t>I express how I feel to my friends as a way to feel less bad.</t>
  </si>
  <si>
    <t>When I have something unpleasant to discuss with someone, I confront them to feel less bad.</t>
  </si>
  <si>
    <t>During conflicts I change the topic towards something less upsetting, to feel less bad.</t>
  </si>
  <si>
    <t>I confront upsetting situations head-on to feel less upset.</t>
  </si>
  <si>
    <t>To feel less bad, I avoid people if I expect an interaction with them to be unpleasant.</t>
  </si>
  <si>
    <t>To feel less anxious in stressful situations, I divert my attention away from the situation.</t>
  </si>
  <si>
    <t>I steer contentious conversations towards a different topic, to reduce how upset they make me feel.</t>
  </si>
  <si>
    <t>To feel less anxious, I tackle stressful situations head-on.</t>
  </si>
  <si>
    <t xml:space="preserve">I suppress my emotion expressions during stressful conversations to feel less anxious. </t>
  </si>
  <si>
    <t>To reduce how upset conflicts make me, I actively find compromises.</t>
  </si>
  <si>
    <t>I avoid stressful situations, to prevent feeling anxious.</t>
  </si>
  <si>
    <t>During a conflict, to calm myself down I work towards finding a compromise.</t>
  </si>
  <si>
    <t>To reduce how upset I feel when something upsetting happens, I think of this as a chance to grow.</t>
  </si>
  <si>
    <t xml:space="preserve">To feel less nervous during a stressful situation, I think about the good things that could come from the situation. </t>
  </si>
  <si>
    <t>To reduce how bad I feel during unpleasant conversations, I focus on anything the person says that is not unpleasant.</t>
  </si>
  <si>
    <t>I focus on the least negative components of a stressful situation, to feel less anxious.</t>
  </si>
  <si>
    <t>To feel less upset when things do not work out as planned, I think of it as a chance to learn.</t>
  </si>
  <si>
    <t>When something does not go as planned, I re-evaluate its importance to reduce how bad I feel.</t>
  </si>
  <si>
    <t>During conflicts, I calm down by negotiating a resolution to the conflict.</t>
  </si>
  <si>
    <t>I distract myself during unpleasant situations to feel less bad.</t>
  </si>
  <si>
    <t>To reduce how upset a situation makes me feel, I tackle it head-on.</t>
  </si>
  <si>
    <t>To feel less upset during upsetting situations, I divert my attention away from what is happening.</t>
  </si>
  <si>
    <t>To feel less stressed, I ask others for help.</t>
  </si>
  <si>
    <t xml:space="preserve">To reduce how anxious I feel during stressful conversations, I focus on things the person says that are not negative. </t>
  </si>
  <si>
    <t>I talk with others about what makes me nervous, to feel less anxious.</t>
  </si>
  <si>
    <t>To reduce how bad I feel during unpleasant situations, I do something to distract myself.</t>
  </si>
  <si>
    <t>I do not tell others when I am upset, as a way to reduce how upset I feel.</t>
  </si>
  <si>
    <t>During stressful conversations, I distract myself to feel less anxious.</t>
  </si>
  <si>
    <t>To reduce how bad conflicts make me feel, I work to solve the disagreement.</t>
  </si>
  <si>
    <t>To feel less upset during a heated conversation, I change the subject.</t>
  </si>
  <si>
    <t>I work to find a solution to conflicts, to decrease how anxious they make me feel.</t>
  </si>
  <si>
    <t>When something does not work out, to calm down I try to see it as a blessing in disguise.</t>
  </si>
  <si>
    <t>When going for something I want gets me in a stressful situation, to feel less anxious I question the importance of what I want.</t>
  </si>
  <si>
    <t>To reduce how upset a situation makes me feel, I avoid the situation.</t>
  </si>
  <si>
    <t>I steer combative conversations to neutral topics, to reduce how bad they make me feel.</t>
  </si>
  <si>
    <t>I avoid upsetting conversations to feel less upset.</t>
  </si>
  <si>
    <t>When something upsetting happens, to feel less upset, I think about the possible benefits of the situation.</t>
  </si>
  <si>
    <t>Confront unpleasant situations</t>
  </si>
  <si>
    <t>Avoid unpleasant situations</t>
  </si>
  <si>
    <t>Resolve conflicts</t>
  </si>
  <si>
    <t>Avoid conflicts</t>
  </si>
  <si>
    <t>Focus elsewhere</t>
  </si>
  <si>
    <t>Cognitively distract</t>
  </si>
  <si>
    <t>Consider benefits</t>
  </si>
  <si>
    <t>Reduce importance</t>
  </si>
  <si>
    <t>Support by emotion sharing</t>
  </si>
  <si>
    <t>Total sample (N = 799)</t>
  </si>
  <si>
    <t>4-24</t>
  </si>
  <si>
    <t>6-36</t>
  </si>
  <si>
    <t>5-30</t>
  </si>
  <si>
    <t>3-18</t>
  </si>
  <si>
    <t>Beck Anxiety Inventory (BAI)</t>
  </si>
  <si>
    <t>Beck Depression Inventory-II (BDI-II)</t>
  </si>
  <si>
    <t>BDI_II</t>
  </si>
  <si>
    <t>BAI</t>
  </si>
  <si>
    <t>| 0 | ---- | 1 | ---- | 2 | ---- | 3 |</t>
  </si>
  <si>
    <t>Minimal = 0-13</t>
  </si>
  <si>
    <t>Mild = 14-19</t>
  </si>
  <si>
    <t>Moderate = 20-28</t>
  </si>
  <si>
    <t>Severe = 29-63</t>
  </si>
  <si>
    <t>Minimal anxiety = 0-7</t>
  </si>
  <si>
    <t>Mild anxiety = 8-15</t>
  </si>
  <si>
    <t>Moderate anxiety = 16-25</t>
  </si>
  <si>
    <t>Severe anxiety = 26-63</t>
  </si>
  <si>
    <t>BDI-II</t>
  </si>
  <si>
    <t>Young Schema Questionnaire-Revised (YSQ-R)</t>
  </si>
  <si>
    <t>Highly elevated ≥ 5</t>
  </si>
  <si>
    <t>Elevated = 4-4.99</t>
  </si>
  <si>
    <t>YSQ_R</t>
  </si>
  <si>
    <t>YSQ-R</t>
  </si>
  <si>
    <t>Emotional deprivation</t>
  </si>
  <si>
    <t>Social isolation</t>
  </si>
  <si>
    <t>Vulnerability to harm</t>
  </si>
  <si>
    <t>Fear of losing control</t>
  </si>
  <si>
    <t>Emotional constriction</t>
  </si>
  <si>
    <t>Unrelenting standards</t>
  </si>
  <si>
    <t>Insufficient self control</t>
  </si>
  <si>
    <t>Approval-seeking</t>
  </si>
  <si>
    <t>Punitiveness (self directed)</t>
  </si>
  <si>
    <t>Punitiveness (other directed)</t>
  </si>
  <si>
    <t>Self-sacrifice</t>
  </si>
  <si>
    <t>Intimacy avoidance</t>
  </si>
  <si>
    <t>Perceptual dysregulation</t>
  </si>
  <si>
    <t>Restricted affectivity</t>
  </si>
  <si>
    <t>Rigid perfectionism</t>
  </si>
  <si>
    <t>Risk taking</t>
  </si>
  <si>
    <t>Separation insecurity</t>
  </si>
  <si>
    <t>Unusual beliefs &amp; experiences</t>
  </si>
  <si>
    <t>Emotional lability</t>
  </si>
  <si>
    <t>% high scores (4, 5, or 6)</t>
  </si>
  <si>
    <t>Answer scale</t>
  </si>
  <si>
    <t>Mean scores</t>
  </si>
  <si>
    <t>Higher scores indicate a higher level of early maladaptive schemas</t>
  </si>
  <si>
    <t>Beck, A.T., Steer, R.A., &amp; Brown, G.K. (1996). Manual for the Beck Depression Inventory-II. San Antonio, TX: Psychological Corporation.</t>
  </si>
  <si>
    <t>https://www.pearsonassessments.com/store/usassessments/en/Store/Professional-Assessments/Personality-%26-Biopsychosocial/Beck-Depression-Inventory/p/100000159.html</t>
  </si>
  <si>
    <t>https://www.pearsonassessments.com/store/usassessments/en/Store/Professional-Assessments/Personality-%26-Biopsychosocial/Beck-Anxiety-Inventory/p/100000251.html</t>
  </si>
  <si>
    <t>Weathers, F.W., Litz, B.T., Keane, T.M., Palmieri, P.A., Marx, B.P., &amp; Schnurr, P.P. (2013). The PTSD Checklist for DSM-5 (PCL-5). Scale available from the National Center for PTSD at www.ptsd.va.gov</t>
  </si>
  <si>
    <r>
      <t xml:space="preserve">Have you been deliberately </t>
    </r>
    <r>
      <rPr>
        <u/>
        <sz val="12"/>
        <color theme="1"/>
        <rFont val="Calibri"/>
        <family val="2"/>
        <scheme val="minor"/>
      </rPr>
      <t>trying</t>
    </r>
    <r>
      <rPr>
        <sz val="12"/>
        <color theme="1"/>
        <rFont val="Calibri"/>
        <family val="2"/>
        <scheme val="minor"/>
      </rPr>
      <t xml:space="preserve"> to limit the amount of food you eat to influence your shape or weight (whether or not you have succeeded)? </t>
    </r>
  </si>
  <si>
    <r>
      <t xml:space="preserve">Has thinking about </t>
    </r>
    <r>
      <rPr>
        <u/>
        <sz val="12"/>
        <color theme="1"/>
        <rFont val="Calibri"/>
        <family val="2"/>
        <scheme val="minor"/>
      </rPr>
      <t>food, eating or calories</t>
    </r>
    <r>
      <rPr>
        <sz val="12"/>
        <color theme="1"/>
        <rFont val="Calibri"/>
        <family val="2"/>
        <scheme val="minor"/>
      </rPr>
      <t xml:space="preserve"> made it very difficult to concentrate on things are interested in (such as working, following a conversation or reading)?</t>
    </r>
  </si>
  <si>
    <r>
      <t xml:space="preserve">Has thinking about your </t>
    </r>
    <r>
      <rPr>
        <u/>
        <sz val="12"/>
        <color theme="1"/>
        <rFont val="Calibri"/>
        <family val="2"/>
        <scheme val="minor"/>
      </rPr>
      <t>weight or shape</t>
    </r>
    <r>
      <rPr>
        <sz val="12"/>
        <color theme="1"/>
        <rFont val="Calibri"/>
        <family val="2"/>
        <scheme val="minor"/>
      </rPr>
      <t xml:space="preserve"> made it very difficult to concentrate on things you are interested in (such as working, following a conversation or reading)?</t>
    </r>
  </si>
  <si>
    <r>
      <t>On how many of these days (</t>
    </r>
    <r>
      <rPr>
        <i/>
        <sz val="12"/>
        <color theme="1"/>
        <rFont val="Calibri"/>
        <family val="2"/>
        <scheme val="minor"/>
      </rPr>
      <t>i.e. days on which you had a sense of having lost control over eating</t>
    </r>
    <r>
      <rPr>
        <sz val="12"/>
        <color theme="1"/>
        <rFont val="Calibri"/>
        <family val="2"/>
        <scheme val="minor"/>
      </rPr>
      <t xml:space="preserve">) did you eat what other people would regard as an </t>
    </r>
    <r>
      <rPr>
        <u/>
        <sz val="12"/>
        <color theme="1"/>
        <rFont val="Calibri"/>
        <family val="2"/>
        <scheme val="minor"/>
      </rPr>
      <t>unusually large amount of food in one go</t>
    </r>
    <r>
      <rPr>
        <sz val="12"/>
        <color theme="1"/>
        <rFont val="Calibri"/>
        <family val="2"/>
        <scheme val="minor"/>
      </rPr>
      <t>?</t>
    </r>
  </si>
  <si>
    <t>Higher scores indicate a higher level of eating disorder symptoms</t>
  </si>
  <si>
    <t>Overall eating disorder symptoms</t>
  </si>
  <si>
    <t>Preece, D. A., Mehta, A., Petrova, K., Sikka, P., Bjureberg, J., Chen, W., Becerra, R., Allan, A., Robinson, K., &amp; Gross, J. J. (2023). The Perth Alexithymia Questionnaire-Short Form: A 6-item Measure of Alexithymia. Journal of Affective Disorders.</t>
  </si>
  <si>
    <t>Depression symptoms</t>
  </si>
  <si>
    <t>PTSD symptoms</t>
  </si>
  <si>
    <t>Higher scores indicate a higher level of PTSD symptoms</t>
  </si>
  <si>
    <t>Global score</t>
  </si>
  <si>
    <t>| 1 = Strongly Disagree | ---- | 2 | ---- | 3 | ---- | 4 = Neutral | ---- | 5 | ---- | 6 | ---- | 7 = Strongly Agree |</t>
  </si>
  <si>
    <t>We would like to ask you some questions about your emotional life, in particular, how you control (that is, regulate and manage) your emotions. The questions below involve two distinct aspects of your emotional life. One is your emotional experience, or what you feel like inside. The other is your emotional expression, or how you show your emotions in the way you talk, gesture, or behave. Although some of the following questions may seem similar to one another, they differ in important ways. For each item, please answer using the following scale:</t>
  </si>
  <si>
    <r>
      <t>Beck, A. T., Epstein, N., Brown, G., &amp; Steer, R. (1993). Beck anxiety inventory. </t>
    </r>
    <r>
      <rPr>
        <i/>
        <sz val="12"/>
        <color rgb="FF222222"/>
        <rFont val="Calibri"/>
        <family val="2"/>
        <scheme val="minor"/>
      </rPr>
      <t>Journal of Consulting and Clinical Psychology</t>
    </r>
    <r>
      <rPr>
        <sz val="12"/>
        <color rgb="FF222222"/>
        <rFont val="Calibri"/>
        <family val="2"/>
        <scheme val="minor"/>
      </rPr>
      <t>.</t>
    </r>
  </si>
  <si>
    <r>
      <t>Fairburn, C. G., &amp; Beglin, S. J. (2008). Eating disorder examination questionnaire. </t>
    </r>
    <r>
      <rPr>
        <i/>
        <sz val="12"/>
        <color rgb="FF222222"/>
        <rFont val="Calibri"/>
        <family val="2"/>
        <scheme val="minor"/>
      </rPr>
      <t>Cognitive behavior therapy and eating disorders</t>
    </r>
    <r>
      <rPr>
        <sz val="12"/>
        <color rgb="FF222222"/>
        <rFont val="Calibri"/>
        <family val="2"/>
        <scheme val="minor"/>
      </rPr>
      <t>, </t>
    </r>
    <r>
      <rPr>
        <i/>
        <sz val="12"/>
        <color rgb="FF222222"/>
        <rFont val="Calibri"/>
        <family val="2"/>
        <scheme val="minor"/>
      </rPr>
      <t>309</t>
    </r>
    <r>
      <rPr>
        <sz val="12"/>
        <color rgb="FF222222"/>
        <rFont val="Calibri"/>
        <family val="2"/>
        <scheme val="minor"/>
      </rPr>
      <t>, 313.</t>
    </r>
  </si>
  <si>
    <r>
      <t>Gideon, N., Hawkes, N., Mond, J., Saunders, R., Tchanturia, K., &amp; Serpell, L. (2016). Development and psychometric validation of the EDE-QS, a 12 item short form of the Eating Disorder Examination Questionnaire (EDE-Q). </t>
    </r>
    <r>
      <rPr>
        <i/>
        <sz val="12"/>
        <color rgb="FF222222"/>
        <rFont val="Calibri"/>
        <family val="2"/>
      </rPr>
      <t>PloS one</t>
    </r>
    <r>
      <rPr>
        <sz val="12"/>
        <color rgb="FF222222"/>
        <rFont val="Calibri"/>
        <family val="2"/>
      </rPr>
      <t>, </t>
    </r>
    <r>
      <rPr>
        <i/>
        <sz val="12"/>
        <color rgb="FF222222"/>
        <rFont val="Calibri"/>
        <family val="2"/>
      </rPr>
      <t>11</t>
    </r>
    <r>
      <rPr>
        <sz val="12"/>
        <color rgb="FF222222"/>
        <rFont val="Calibri"/>
        <family val="2"/>
      </rPr>
      <t>(5), e0152744.</t>
    </r>
  </si>
  <si>
    <r>
      <t xml:space="preserve">Olderbak, S., Uusberg, A., MacCann, C., Pollak, K. M., &amp; Gross, J. J. (2022). The Process Model of Emotion Regulation Questionnaire: Assessing Individual Differences in Strategy Stage and Orientation. </t>
    </r>
    <r>
      <rPr>
        <i/>
        <sz val="12"/>
        <color rgb="FF222222"/>
        <rFont val="Calibri"/>
        <family val="2"/>
        <scheme val="minor"/>
      </rPr>
      <t>Assessment</t>
    </r>
    <r>
      <rPr>
        <sz val="12"/>
        <color rgb="FF222222"/>
        <rFont val="Calibri"/>
        <family val="2"/>
        <scheme val="minor"/>
      </rPr>
      <t>, 10731911221134601.</t>
    </r>
  </si>
  <si>
    <t>Higher scores indicate a higher level or presence of that early maladaptive schema</t>
  </si>
  <si>
    <t>[see publisher website]</t>
  </si>
  <si>
    <t>…</t>
  </si>
  <si>
    <t>| 1 | ---- | 2 | ---- | 3 | ---- | 4 | ---- | 5 | ---- | 6 |</t>
  </si>
  <si>
    <r>
      <rPr>
        <b/>
        <sz val="12"/>
        <color theme="1"/>
        <rFont val="Calibri"/>
        <family val="2"/>
        <scheme val="minor"/>
      </rPr>
      <t>YSQ-R:</t>
    </r>
    <r>
      <rPr>
        <sz val="12"/>
        <color theme="1"/>
        <rFont val="Calibri"/>
        <family val="2"/>
        <scheme val="minor"/>
      </rPr>
      <t xml:space="preserve"> Yalcin, O., Marais, I., Lee, C., &amp; Correia, H. (2022). Revisions to the Young Schema Questionnaire using Rasch analysis: the YSQ-R. </t>
    </r>
    <r>
      <rPr>
        <i/>
        <sz val="12"/>
        <color theme="1"/>
        <rFont val="Calibri"/>
        <family val="2"/>
        <scheme val="minor"/>
      </rPr>
      <t>Australian Psychologist</t>
    </r>
    <r>
      <rPr>
        <sz val="12"/>
        <color theme="1"/>
        <rFont val="Calibri"/>
        <family val="2"/>
        <scheme val="minor"/>
      </rPr>
      <t>, 57, 8-20.</t>
    </r>
  </si>
  <si>
    <t>Restraining from eating, avoiding eating or excluding foods, rules around eating, aiming for an empty stomach</t>
  </si>
  <si>
    <t xml:space="preserve">On what proportion of the times that you have eaten have you felt guilty (felt that you’ve done wrong) because of its effect on your shape or weight?… Do not count episodes of binge eating. </t>
  </si>
  <si>
    <t>Over the past 28 days, how concerned have you been about other people seeing you eat? … Do not count episodes of binge eating</t>
  </si>
  <si>
    <t>Beck Depression Inventory-II (BDI-II; Beck et al., 1996)</t>
  </si>
  <si>
    <t>Beck Anxiety Inventory (BAI; Beck et al., 1993)</t>
  </si>
  <si>
    <t>Eating Disorder Examination Questionnaire (EDE-Q; Fairburn et al., 2008)</t>
  </si>
  <si>
    <t>Eating Disorder Examination Questionnaire-Short (EDE-QS; Gideon et al., 2016)</t>
  </si>
  <si>
    <t>Process Model of Emotion Regulation Questionnaire (PMERQ; Olderbak et al., 2022)</t>
  </si>
  <si>
    <t>Young Schema Questionnaire-Revised (YSQ-R; Yalcin et al., 2022)</t>
  </si>
  <si>
    <t>See publisher website</t>
  </si>
  <si>
    <t>Download PCL-5 pdf</t>
  </si>
  <si>
    <t>Download EDE-Q pdf</t>
  </si>
  <si>
    <t>Download EDE-QS pdf</t>
  </si>
  <si>
    <t>Download PAQ-S pdf</t>
  </si>
  <si>
    <t>Download PMERQ pdf</t>
  </si>
  <si>
    <t>[see publisher website: pearsonassessments.com]</t>
  </si>
  <si>
    <t>The Lloyd &amp; Preece Psychometric Auto-Scorer was developed by Erin M. Lloyd and Dr David A. Preece. It is a programmed Excel sheet that auto-scores a variety of common psychological questionnaires. We intend to continue updating the Lloyd &amp; Preece Psychometric Auto-Scorer with new sets of measures.</t>
  </si>
  <si>
    <t>Preoccupation with food/eating/calories, fear of losing control over eating, eating in secret, concerned about others seeing eat, guilt about eating</t>
  </si>
  <si>
    <t>Desire for flat stomach, preoccupation with shape/weight, fear of weight gain, feeling fat, high importance of shape, dissatisfaction with shape, discomfort seeing own body, discomfort with others seeing body</t>
  </si>
  <si>
    <t>Desire to lose weight, weight important for self worth/judgement, distress from prescribed weighing, disatisfaction with weight, preoccupation with shape/weight</t>
  </si>
  <si>
    <t>https://www.schematherapy.com/id55.htm</t>
  </si>
  <si>
    <t>Original YSQ versions by Young &amp; Brown (2003):</t>
  </si>
  <si>
    <t>5 to 25</t>
  </si>
  <si>
    <t>20 to 100</t>
  </si>
  <si>
    <t>10 to 50</t>
  </si>
  <si>
    <r>
      <t xml:space="preserve">Olderbak, S., Uusberg, A., MacCann, C., Pollak, K. M., &amp; Gross, J. J. (2022). The Process Model of Emotion Regulation Questionnaire: Assessing Individual Differences in Strategy Stage and Orientation. </t>
    </r>
    <r>
      <rPr>
        <i/>
        <sz val="12"/>
        <rFont val="Calibri"/>
        <family val="2"/>
        <scheme val="minor"/>
      </rPr>
      <t>Assessment</t>
    </r>
    <r>
      <rPr>
        <sz val="12"/>
        <rFont val="Calibri"/>
        <family val="2"/>
        <scheme val="minor"/>
      </rPr>
      <t>, 10731911221134601.</t>
    </r>
  </si>
  <si>
    <t>https://www.ptsd.va.gov/professional/assessment/adult-sr/ptsd-checklist.asp</t>
  </si>
  <si>
    <r>
      <t xml:space="preserve">Mond, J. M., Myers, T. C., Crosby, R. D., Hay, P. J., Rodgers, B., Morgan, J. F., ... &amp; Mitchell, J. E. (2008). Screening for eating disorders in primary care: EDE-Q versus SCOFF. </t>
    </r>
    <r>
      <rPr>
        <i/>
        <sz val="12"/>
        <rFont val="Calibri"/>
        <family val="2"/>
        <scheme val="minor"/>
      </rPr>
      <t>Behaviour Research and Therapy</t>
    </r>
    <r>
      <rPr>
        <sz val="12"/>
        <rFont val="Calibri"/>
        <family val="2"/>
        <scheme val="minor"/>
      </rPr>
      <t>, 46(5), 612-622.</t>
    </r>
  </si>
  <si>
    <r>
      <rPr>
        <sz val="12"/>
        <rFont val="Calibri"/>
        <family val="2"/>
        <scheme val="minor"/>
      </rPr>
      <t>Prnjak, K., Mitchison, D., Griffiths, S., Mond, J., Gideon, N., Serpell, L., &amp; Hay, P. (2020). Further development of the 12-item EDE-QS: identifying a cut-off for screening purposes.</t>
    </r>
    <r>
      <rPr>
        <i/>
        <sz val="12"/>
        <rFont val="Calibri"/>
        <family val="2"/>
        <scheme val="minor"/>
      </rPr>
      <t xml:space="preserve"> BMC psychiatry</t>
    </r>
    <r>
      <rPr>
        <sz val="12"/>
        <rFont val="Calibri"/>
        <family val="2"/>
        <scheme val="minor"/>
      </rPr>
      <t>, 20(1), 1-7.</t>
    </r>
  </si>
  <si>
    <r>
      <t>Preece, D. A., Mehta, A., Petrova, K., Sikka, P., Bjureberg, J., Chen, W., Becerra, R., Allan, A., Robinson, K., &amp; Gross, J. J. (2023). The Perth Alexithymia Questionnaire-Short Form: A 6-item Measure of Alexithymia.</t>
    </r>
    <r>
      <rPr>
        <i/>
        <sz val="12"/>
        <rFont val="Calibri"/>
        <family val="2"/>
        <scheme val="minor"/>
      </rPr>
      <t xml:space="preserve"> Journal of Affective Disorders</t>
    </r>
    <r>
      <rPr>
        <sz val="12"/>
        <rFont val="Calibri"/>
        <family val="2"/>
        <scheme val="minor"/>
      </rPr>
      <t>.</t>
    </r>
  </si>
  <si>
    <r>
      <t>Yalcin, O., Marais, I., Lee, C., &amp; Correia, H. (2022). Revisions to the Young Schema Questionnaire using Rasch analysis: the YSQ-R.</t>
    </r>
    <r>
      <rPr>
        <i/>
        <sz val="12"/>
        <rFont val="Calibri"/>
        <family val="2"/>
        <scheme val="minor"/>
      </rPr>
      <t xml:space="preserve"> Australian Psychologist</t>
    </r>
    <r>
      <rPr>
        <sz val="12"/>
        <rFont val="Calibri"/>
        <family val="2"/>
        <scheme val="minor"/>
      </rPr>
      <t>, 57, 8-20.</t>
    </r>
  </si>
  <si>
    <r>
      <t xml:space="preserve">Lovibond, P. F., &amp; Lovibond, S. H. (1995). The structure of negative emotional states: Comparison of the Depression Anxiety Stress Scales (DASS) with the Beck Depression and Anxiety Inventories. </t>
    </r>
    <r>
      <rPr>
        <i/>
        <sz val="12"/>
        <color theme="1"/>
        <rFont val="Calibri"/>
        <family val="2"/>
        <scheme val="minor"/>
      </rPr>
      <t>Behaviour Research and Therapy</t>
    </r>
    <r>
      <rPr>
        <sz val="12"/>
        <color theme="1"/>
        <rFont val="Calibri"/>
        <family val="2"/>
        <scheme val="minor"/>
      </rPr>
      <t>, 33(3), 335-343.</t>
    </r>
  </si>
  <si>
    <r>
      <t>Beck, A. T., Epstein, N., Brown, G., &amp; Steer, R. (1993). Beck anxiety inventory. </t>
    </r>
    <r>
      <rPr>
        <i/>
        <sz val="12"/>
        <rFont val="Calibri"/>
        <family val="2"/>
        <scheme val="minor"/>
      </rPr>
      <t>Journal of Consulting and Clinical Psychology</t>
    </r>
    <r>
      <rPr>
        <sz val="12"/>
        <rFont val="Calibri"/>
        <family val="2"/>
        <scheme val="minor"/>
      </rPr>
      <t>.</t>
    </r>
  </si>
  <si>
    <t>Questionnaire access links</t>
  </si>
  <si>
    <t>Confronting/approaching unpleasant situations to decrease the negative affect felt (or expect to feel) regarding those situations.</t>
  </si>
  <si>
    <t>Avoiding unpleasant situations to decrease the negative affect felt (or expect to feel) regarding those situations.</t>
  </si>
  <si>
    <t>Resolving conflict to decrease one’s felt negative affect resulting from the interaction.</t>
  </si>
  <si>
    <t>Changing the conversation to avoid conflicts rather than resolve them.</t>
  </si>
  <si>
    <t>Focus on the least negative aspects in an emotion-eliciting situation or toward things external to the situation.</t>
  </si>
  <si>
    <t>Direct attention from the situation to neutral or non-negative aspects in the situation or external to the emotional situation.</t>
  </si>
  <si>
    <t>Considering the benefits of the unpleasant situation.</t>
  </si>
  <si>
    <t>Questioning one’s goals/interests/motives so they seem less important.</t>
  </si>
  <si>
    <t>Expressing emotions by talking with other people about situations and the emotions these situations elicited.</t>
  </si>
  <si>
    <t>Suppressing the expression of emotions to regulate the felt emotion.</t>
  </si>
  <si>
    <t>Scale descriptions from Olderbak et al. (2022)</t>
  </si>
  <si>
    <t>Score range (Part A):</t>
  </si>
  <si>
    <r>
      <rPr>
        <i/>
        <sz val="12"/>
        <rFont val="Calibri"/>
        <family val="2"/>
        <scheme val="minor"/>
      </rPr>
      <t>Some of the measures' scores are interpreted by comparisons with a relevant normative sample</t>
    </r>
    <r>
      <rPr>
        <sz val="12"/>
        <rFont val="Calibri"/>
        <family val="2"/>
        <scheme val="minor"/>
      </rPr>
      <t xml:space="preserve"> (i.e., a general community sample) (e.g., PAQ, PERCI, PERS, PERS-S, EBQ, ERQ, PES, PID-5, PID-5-BF). For these types of measures, the Lloyd &amp; Preece Psychometric Auto-Scorer provides a 'z-score' (which indicates how many standard deviations [SDs] a client's score is from the mean [M] of the normative sample) and a description of whether this score is in the 'high', 'average', or 'low' range. Scores that are within 1SD of the mean are listed as 'average' range (i.e., z-scores between -.99 and .99), scores 1SD or more above the mean are listed as 'high' (i.e., z-scores of 1.0 or more), and scores 1SD or more below the mean are listed as 'low' (i.e., z-scores of -1.0 or less). For these calculations we have used, as the normative reference sample, data from a variety of community adult samples (see the sheet labeled 'Measure norms'). There may be other published data that are more appropriate reference samples for your purposes, and we encourage practitioners to consider this in their interpretation of scores.</t>
    </r>
  </si>
  <si>
    <t>Questions and comments can be directed to us via email at david.preece@curtin.edu.au. You can also send us requests for new measures to be added.</t>
  </si>
  <si>
    <t>Psychopathology or Mental Health Symptoms</t>
  </si>
  <si>
    <t>Neurodevelopmental Disorder Symptoms or Traits</t>
  </si>
  <si>
    <t>Personality or Personality-Related Constructs</t>
  </si>
  <si>
    <t>Measures of Psychopathology or Mental Health Symptoms</t>
  </si>
  <si>
    <t>Measures of Neurodevelopmental Disorder Symptoms or Traits</t>
  </si>
  <si>
    <t>Measures of Personality or Personality-Related Constructs</t>
  </si>
  <si>
    <t>Items within score</t>
  </si>
  <si>
    <t>3, 5, 10, 13, 16, 17, 21</t>
  </si>
  <si>
    <t>2, 4, 7, 9, 15, 19, 20</t>
  </si>
  <si>
    <t>1, 6, 8, 11, 12, 14, 18</t>
  </si>
  <si>
    <t>3, 5, 10, 13, 16, 17, 21, 24, 26, 31, 34, 37, 38, 42</t>
  </si>
  <si>
    <t>2, 4, 7, 9, 15, 19, 20, 23, 25, 28, 30, 36, 40, 41</t>
  </si>
  <si>
    <t>1, 6, 8, 11, 12, 14, 18, 22, 27, 29, 32, 33, 35, 39</t>
  </si>
  <si>
    <t>1, 2, 3, 4, 5, 6, 7, 8, 9, 10</t>
  </si>
  <si>
    <t>1, 2, 3, 4, 5, 6, 7</t>
  </si>
  <si>
    <t>1, 2, 3, 4, 5, 6, 7, 8, 9</t>
  </si>
  <si>
    <t>1, 2, 3, 4, 5, 6, 7, 8, 9, 10, 11, 12, 13, 14, 15, 16, 17, 18, 19, 20, 21</t>
  </si>
  <si>
    <t>1, 2</t>
  </si>
  <si>
    <t>4, 5</t>
  </si>
  <si>
    <t>6, 7, 8</t>
  </si>
  <si>
    <t>9, 10</t>
  </si>
  <si>
    <t>12, 13</t>
  </si>
  <si>
    <t>16, 17</t>
  </si>
  <si>
    <t>19, 20</t>
  </si>
  <si>
    <t>21, 22, 23</t>
  </si>
  <si>
    <t>1, 2, 3, 4, 5, 6, 7, 8, 9, 10, 11, 12, 13, 14, 15, 16, 17, 18, 19, 20</t>
  </si>
  <si>
    <t>1, 2, 3, 4, 5</t>
  </si>
  <si>
    <t>7, 9, 19, 21, 20</t>
  </si>
  <si>
    <t>Restraint, Eating concern, Shape concern, Weight concern</t>
  </si>
  <si>
    <t>1, 2, 3, 4, 5, 6, 7, 8, 9, 10, 11, 12</t>
  </si>
  <si>
    <t>2, 8, 14, 20</t>
  </si>
  <si>
    <t>5, 11, 17, 23</t>
  </si>
  <si>
    <t>1, 7, 13, 19</t>
  </si>
  <si>
    <t>4, 10, 16, 22</t>
  </si>
  <si>
    <t>3, 6, 9, 12, 15, 18, 21, 24</t>
  </si>
  <si>
    <t>1, 2, 3, 4, 5, 6</t>
  </si>
  <si>
    <t>1, 5, 9, 13</t>
  </si>
  <si>
    <t>3, 7, 11, 15</t>
  </si>
  <si>
    <t>2, 6, 10, 14</t>
  </si>
  <si>
    <t>4, 8, 12, 16</t>
  </si>
  <si>
    <t>18, 22, 26, 30</t>
  </si>
  <si>
    <t>17, 21, 25, 29</t>
  </si>
  <si>
    <t>19, 23, 27, 31</t>
  </si>
  <si>
    <t>20, 24, 28, 32</t>
  </si>
  <si>
    <t>2, 8, 14, 20, 26</t>
  </si>
  <si>
    <t>6, 12, 18, 24, 30</t>
  </si>
  <si>
    <t>4, 10, 16, 22, 28</t>
  </si>
  <si>
    <t>1, 7, 13, 19, 25</t>
  </si>
  <si>
    <t>5, 11, 17, 23, 29</t>
  </si>
  <si>
    <t>3, 9, 15, 21, 27</t>
  </si>
  <si>
    <t>2, 8, 14</t>
  </si>
  <si>
    <t>6, 12, 18</t>
  </si>
  <si>
    <t>4, 10, 16</t>
  </si>
  <si>
    <t>1, 7, 13</t>
  </si>
  <si>
    <t>5, 11, 17</t>
  </si>
  <si>
    <t>3, 9, 15</t>
  </si>
  <si>
    <t>1, 3, 5, 7, 8, 10</t>
  </si>
  <si>
    <t>2, 4, 6, 9</t>
  </si>
  <si>
    <t>9, 11, 15, 28</t>
  </si>
  <si>
    <t>4, 5, 12, 18, 42, 44</t>
  </si>
  <si>
    <t>6, 17, 19, 26, 36, 39</t>
  </si>
  <si>
    <t>2, 22, 23, 31</t>
  </si>
  <si>
    <t>13, 27, 29, 33, 35</t>
  </si>
  <si>
    <t>7, 20, 21, 24, 40, 45</t>
  </si>
  <si>
    <t>25, 38, 41</t>
  </si>
  <si>
    <t>8, 30, 32</t>
  </si>
  <si>
    <t>1, 16, 34</t>
  </si>
  <si>
    <t>1, 5, 9, 13, 17</t>
  </si>
  <si>
    <t>3, 7, 11, 15, 19</t>
  </si>
  <si>
    <t>2, 6, 10, 14, 18</t>
  </si>
  <si>
    <t>4, 8, 12, 16, 20</t>
  </si>
  <si>
    <t>7, 8, 9, 10, 11, 12, 13, 14, 15, 16, 17, 18</t>
  </si>
  <si>
    <t>1, 11, 13, 15, 22, 36, 44, 45, 47, 48</t>
  </si>
  <si>
    <t>2, 4, 10, 16, 25, 32, 34, 37, 43, 46</t>
  </si>
  <si>
    <t>5, 6, 9, 12, 19, 23, 28, 29, 30, 49</t>
  </si>
  <si>
    <t>7, 17, 18, 26, 27, 31, 33, 35, 38, 39</t>
  </si>
  <si>
    <t>3, 8, 14, 20, 21, 24, 40, 41, 42, 50</t>
  </si>
  <si>
    <t>8, 10, 15, 17, 28, 30, 35</t>
  </si>
  <si>
    <t>13, 19, 23, 26, 33, 37, 42</t>
  </si>
  <si>
    <t>3, 6, 9, 16, 22, 29, 39</t>
  </si>
  <si>
    <t>2, 5, 14, 21, 27, 34, 38</t>
  </si>
  <si>
    <t>1, 7, 12, 20, 25, 32, 41</t>
  </si>
  <si>
    <t>4, 11, 18, 24, 31, 36, 40</t>
  </si>
  <si>
    <t>1, 23, 26, 30, 124, 155, 157, 189</t>
  </si>
  <si>
    <t>79, 93, 95, 96, 109, 110, 130, 141, 174</t>
  </si>
  <si>
    <t>14, 43, 74, 111, 113, 173, 191, 211</t>
  </si>
  <si>
    <t>11, 13, 19, 54, 72, 73, 90, 153, 166, 183, 198, 200, 207, 208</t>
  </si>
  <si>
    <t>41, 53, 56, 76, 126, 134, 142, 206, 214, 218</t>
  </si>
  <si>
    <t>27, 61, 66, 81, 86, 104, 119, 148, 151, 163, 168, 169, 178, 212</t>
  </si>
  <si>
    <t>6, 29, 47, 68, 88, 118, 132, 144, 199</t>
  </si>
  <si>
    <t>5, 21, 24, 25, 33, 52, 55, 70, 71, 152, 172, 185, 205</t>
  </si>
  <si>
    <t>40, 65, 114, 179, 187, 197</t>
  </si>
  <si>
    <t>28, 32, 38, 85, 92, 116, 158, 170, 188, 216</t>
  </si>
  <si>
    <t>4, 16, 17, 22, 58, 204</t>
  </si>
  <si>
    <t>89, 97, 108, 120, 145, 203</t>
  </si>
  <si>
    <t>31, 129, 156, 160, 171, 201, 210</t>
  </si>
  <si>
    <t>107, 125, 162, 180, 219</t>
  </si>
  <si>
    <t>36, 37, 42, 44, 59, 77, 83, 154, 192, 193, 213, 217</t>
  </si>
  <si>
    <t>46, 51, 60, 78, 80, 100, 121, 128, 137</t>
  </si>
  <si>
    <t>8, 45, 84, 91, 101, 167, 184</t>
  </si>
  <si>
    <t>34, 49, 105, 115, 123, 135, 140, 176, 196, 220</t>
  </si>
  <si>
    <t>3, 7, 35, 39, 48, 67, 69, 87, 98, 112, 159, 164, 195, 215</t>
  </si>
  <si>
    <t>12, 50, 57, 64, 127, 149, 175</t>
  </si>
  <si>
    <t>9, 15, 63, 202</t>
  </si>
  <si>
    <t>2, 103, 117, 131, 133, 177, 190</t>
  </si>
  <si>
    <t>94, 99, 106, 139, 143, 150, 194, 209</t>
  </si>
  <si>
    <t>10, 20, 75, 82, 136, 146, 147, 161, 182, 186</t>
  </si>
  <si>
    <t>8, 9, 10, 11, 15</t>
  </si>
  <si>
    <t>4, 13, 14, 16, 18</t>
  </si>
  <si>
    <t>17, 19, 20, 22, 25</t>
  </si>
  <si>
    <t>1, 2, 3, 5, 6</t>
  </si>
  <si>
    <t>7, 12, 21, 23, 24</t>
  </si>
  <si>
    <t>6, 7, 8, 9, 10, 11, 12, 13</t>
  </si>
  <si>
    <t>14, 15, 16, 17, 18</t>
  </si>
  <si>
    <t>19, 20, 21, 22, 23</t>
  </si>
  <si>
    <t>24, 25, 26, 27, 28, 29</t>
  </si>
  <si>
    <t>30, 31, 32, 33, 34, 35</t>
  </si>
  <si>
    <t>36, 37, 38, 39, 40, 41, 42, 43</t>
  </si>
  <si>
    <t>44, 45, 46, 47, 48, 49</t>
  </si>
  <si>
    <t>50, 51, 52, 53, 54, 55, 56</t>
  </si>
  <si>
    <t>57, 58, 59, 60, 61</t>
  </si>
  <si>
    <t>62, 63, 64, 65, 66, 67</t>
  </si>
  <si>
    <t>68, 69, 70, 71</t>
  </si>
  <si>
    <t>72, 73, 74, 75, 76</t>
  </si>
  <si>
    <t>77, 78, 79, 80, 81, 82, 83</t>
  </si>
  <si>
    <t>84, 85, 86, 87, 88, 89</t>
  </si>
  <si>
    <t>90, 91, 92, 93, 94, 95, 96</t>
  </si>
  <si>
    <t>97, 98, 99, 100, 101</t>
  </si>
  <si>
    <t>102, 103, 104, 105, 106, 107</t>
  </si>
  <si>
    <t>108, 109, 110, 111, 112</t>
  </si>
  <si>
    <t>113, 114, 115, 116</t>
  </si>
  <si>
    <t>Reverse-scored items:</t>
  </si>
  <si>
    <r>
      <rPr>
        <b/>
        <sz val="12"/>
        <color theme="1"/>
        <rFont val="Calibri"/>
        <family val="2"/>
        <scheme val="minor"/>
      </rPr>
      <t>Note:</t>
    </r>
    <r>
      <rPr>
        <sz val="12"/>
        <color theme="1"/>
        <rFont val="Calibri"/>
        <family val="2"/>
        <scheme val="minor"/>
      </rPr>
      <t xml:space="preserve"> Some items in this measure are reverse-scored items, this is accounted for automatically within the Auto-scorer.</t>
    </r>
  </si>
  <si>
    <t>7, 30, 35, 58, 87, 90, 96, 97, 98, 131, 142, 155, 164, 177, 210, 215</t>
  </si>
  <si>
    <t>8, 15, 19, 23, 28</t>
  </si>
  <si>
    <r>
      <rPr>
        <b/>
        <sz val="12"/>
        <color theme="1"/>
        <rFont val="Calibri"/>
        <family val="2"/>
        <scheme val="minor"/>
      </rPr>
      <t>Note:</t>
    </r>
    <r>
      <rPr>
        <sz val="12"/>
        <color theme="1"/>
        <rFont val="Calibri"/>
        <family val="2"/>
        <scheme val="minor"/>
      </rPr>
      <t xml:space="preserve"> Two types of scores are calculated for each subscale, the mean score (ranging from 1 to 6) for each subscale, and a percentage score for the percentage of high scoring (4, 5, or 6) items in the subscale</t>
    </r>
  </si>
  <si>
    <t>"1" given to “Definitely agree” (1) or “Slightly agree” (2) for items:</t>
  </si>
  <si>
    <t>1, 7, 8, 10</t>
  </si>
  <si>
    <t>"1" given to “Definitely disagree” (3) or “Slightly disagree” (4) for items:</t>
  </si>
  <si>
    <t>2, 3, 4, 5, 6, 9</t>
  </si>
  <si>
    <r>
      <rPr>
        <b/>
        <sz val="12"/>
        <color theme="1"/>
        <rFont val="Calibri"/>
        <family val="2"/>
        <scheme val="minor"/>
      </rPr>
      <t>Note:</t>
    </r>
    <r>
      <rPr>
        <sz val="12"/>
        <color theme="1"/>
        <rFont val="Calibri"/>
        <family val="2"/>
        <scheme val="minor"/>
      </rPr>
      <t xml:space="preserve"> Each item score is converted into either a 0 or a 1, depending on whether the threshold was reached for that item.</t>
    </r>
  </si>
  <si>
    <t>2, 4, 5, 6, 7, 9, 12, 13, 16, 18, 19, 20, 21, 22, 23, 26, 33, 35, 39, 41, 42, 43, 45, 46</t>
  </si>
  <si>
    <t>1, 3, 8, 10, 11, 14, 15, 17, 24, 25, 27, 28, 29, 30, 31, 32, 34, 36, 37, 38, 40, 44, 47, 48, 49, 50</t>
  </si>
  <si>
    <t>"1" given for reaching threshold of "Sometimes" (3) for items:</t>
  </si>
  <si>
    <t>1, 2, 3, 9, 12, 16, 18</t>
  </si>
  <si>
    <t>"1" given for reaching threshold of "Often" (4) for items:</t>
  </si>
  <si>
    <t>4, 5, 6, 7, 8, 10, 11, 13, 14, 15, 17</t>
  </si>
  <si>
    <t xml:space="preserve">To feel less upset when things do not go as planned, I think about what may be the benefits. </t>
  </si>
  <si>
    <t xml:space="preserve">If something does not work out as I wanted, to feel less bad I decide that perhaps it was not so important. </t>
  </si>
  <si>
    <t>Questions 13-18: Please fill in the appropriate number in the boxes on the right. Remember that the questions only refer to the past four weeks (28 days).</t>
  </si>
  <si>
    <t>Note: items 13 to 18 do not contribute to the overall scoring and are not answered on the 0 to 6 Likert scale.</t>
  </si>
  <si>
    <t>PERS-S</t>
  </si>
  <si>
    <t>You can begin with the 'Client Details' sheet, inputting the details of your client, patient, or participant. We recommend saving a separate version of this Excel file for each client, and for each new administration (e.g., testing pre and post intervention).</t>
  </si>
  <si>
    <t>This excel file has a separate 'sheet' for each of the measures, which can be navigated between using the tabs at the bottom of the screen (you will need to use the arrows in the bottom left of screen to navigate/see across all the tabs) or navigated by clicking on the black buttons on each sheet (see example buttons to the right).</t>
  </si>
  <si>
    <t>For the best experience, we recommend downloading the Excel file and opening it on a computer; depending on software versions on some mobile or tablet devices, some Excel navigation features may not work.</t>
  </si>
  <si>
    <t>Technical Notes</t>
  </si>
  <si>
    <t>Subscales within score</t>
  </si>
  <si>
    <t>Negative-Difficulty identifying feelings, Positive-Difficulty identifying feelings</t>
  </si>
  <si>
    <t>Negative-Difficulty describing feelings, Positive-Difficulty describing feelings</t>
  </si>
  <si>
    <t>Negative-Difficulty identifying feelings, Negative-Difficulty describing feelings</t>
  </si>
  <si>
    <t>Positive-Difficulty identifying feelings, Positive-Difficulty describing feelings</t>
  </si>
  <si>
    <t>Negative-Difficulty identifying feelings, Positive-Difficulty identifying feelings, Negative-Difficulty describing feelings, Positive-Difficulty describing feelings</t>
  </si>
  <si>
    <t>Negative-Difficulty identifying feelings, Positive-Difficulty identifying feelings, Negative-Difficulty describing feelings, Positive-Difficulty describing feelings, General-Externally orientated thinking</t>
  </si>
  <si>
    <t>Negative-Controlling experience, Negative-Inhibiting behavior, Negative-Activating behavior, Negative-Tolerating emotions</t>
  </si>
  <si>
    <t>Positive-Controlling experience, Positive-Inhibiting behavior, Positive-Activating behavior, Positive-Tolerating emotions</t>
  </si>
  <si>
    <t>Negative-Controlling experience, Negative-Inhibiting behavior, Negative-Activating behavior, Negative-Tolerating emotions, Positive-Controlling experience</t>
  </si>
  <si>
    <t>Positive-Inhibiting behavior, Positive-Activating behavior, Positive-Tolerating emotions</t>
  </si>
  <si>
    <t>Negative-Controlling experience, Negative-Inhibiting behavior, Negative-Activating behavior, Negative-Tolerating emotions, Positive-Controlling experience, Positive-Inhibiting behavior, Positive-Activating behavior, Positive-Tolerating emotions</t>
  </si>
  <si>
    <t>Negative-Activation, Negative-Intensity, Negative-Duration</t>
  </si>
  <si>
    <t>Positive-Activation, Positive-Intensity, Positive-Duration</t>
  </si>
  <si>
    <t>Negative-Controllability, Positive-Controllability</t>
  </si>
  <si>
    <t>Negative-Usefulness, Positive-Usefulness</t>
  </si>
  <si>
    <t>Negative-Controllability, Positive-Controllability, Negative-Usefulness, Positive-Usefulness</t>
  </si>
  <si>
    <t>Social skill, Attention switching, Attention to detail, Communication, Imagination</t>
  </si>
  <si>
    <t>Social Interactions, Communication, Social Camouflage, Cognitive Rigidity, Repetitive Behaviours, Sensory Sensitivity</t>
  </si>
  <si>
    <t>Manipulativeness, Deceitfulness, Grandiosity</t>
  </si>
  <si>
    <t>Irresponsibility, Impulsivity, Distractibility</t>
  </si>
  <si>
    <t>Converted scores</t>
  </si>
  <si>
    <t>Based on these item scores, another table on that sheet will automatically display the calculated subscale and composite scores. Additionally, for ease of interpretation, the 'Profile Summary and Figures' tab (third tab from the left) provides a list of the scores for all the measures on one page, and profile graphs showing patterns of high/low scores. Do not enter scores into that 'Profile Summary and Figures' tab, it is purely for display and summary purposes.</t>
  </si>
  <si>
    <t>The Lloyd &amp; Preece Psychometric Auto-Scorer uses the standardised scoring and interpretation rules for each measure.</t>
  </si>
  <si>
    <t>Perth Emotion &amp; Psychopathology Lab, Curtin University &amp; the University of Western Australia</t>
  </si>
  <si>
    <r>
      <rPr>
        <b/>
        <sz val="14"/>
        <color theme="9" tint="0.39997558519241921"/>
        <rFont val="Calibri"/>
        <family val="2"/>
        <scheme val="minor"/>
      </rPr>
      <t>DO NOT input any scores in this profile sheet.</t>
    </r>
    <r>
      <rPr>
        <sz val="12"/>
        <color theme="1"/>
        <rFont val="Calibri"/>
        <family val="2"/>
        <scheme val="minor"/>
      </rPr>
      <t xml:space="preserve"> Instead, navigate with the tabs below and input item scores into the sheet for each respective questionnaire (e.g., tabs labelled DASS-21, DASS, K10, etc.). The scores and profile figures (graphs) here will then be auto-generated and displayed on this profile sheet. This sheet displays the raw scores, z-scores (if applicable, if not that column will say NA), and interpretative descriptive labels of the score range for all subscale or composite scores of each measure.</t>
    </r>
  </si>
  <si>
    <t>To navigate between the various profile tables and graphs on this sheet, you can scroll up and down the sheet, or to the right of the graphs is an index with a set of buttons to automatically take you to the desired graph.</t>
  </si>
  <si>
    <t>To export a figure (graph) from the 'Profile Summary and Figures' tab for use in a word document or other document, click on the graph to select it and use the copy and paste commands on your computer. Similarly, you can select and copy across the desired cells of a table.</t>
  </si>
  <si>
    <t>To export a graph from the 'Profile Summary and Figures' tab for use in a word document or other document, you can click on the graph to select it and use the copy and paste commands on your computer. Similarly, you can select and copy across the desired cells of a table.</t>
  </si>
  <si>
    <t>3, 10, 14, 37, 43</t>
  </si>
  <si>
    <t>Part A, Part B</t>
  </si>
  <si>
    <t>Emotional lability, Anxiousness, Separation insecurity</t>
  </si>
  <si>
    <t>Withdrawal, Anhedonia, Intimacy avoidance</t>
  </si>
  <si>
    <t>Unusual beliefs &amp; experiences, Eccentricity, Perceptual dysregulation</t>
  </si>
  <si>
    <t>The Measures that can be scored within the Lloyd &amp; Preece Psychometric Auto-Scorer Include:</t>
  </si>
  <si>
    <t>Negative-Cognitive empathy</t>
  </si>
  <si>
    <t>Positive-Cognitive empathy</t>
  </si>
  <si>
    <t>Negative-Affective empathy</t>
  </si>
  <si>
    <t>Positive-Affective empathy</t>
  </si>
  <si>
    <t>General-Cognitive empathy</t>
  </si>
  <si>
    <t>General-Affective empathy</t>
  </si>
  <si>
    <t>Negative-Cognitive empathy, Positive-Cognitive empathy</t>
  </si>
  <si>
    <t>Negative-Affective empathy, Positive-Affective empathy</t>
  </si>
  <si>
    <t>Negative-Cognitive empathy, Positive-Cognitive empathy, Negative-Affective empathy, Positive-Affective empathy</t>
  </si>
  <si>
    <t>Social interactions</t>
  </si>
  <si>
    <t>Social camouflage</t>
  </si>
  <si>
    <t>Cognitive rigidity</t>
  </si>
  <si>
    <t>Repetitive behaviours</t>
  </si>
  <si>
    <t>Sensory sensitivity</t>
  </si>
  <si>
    <t>Score range (Global score)</t>
  </si>
  <si>
    <t>Score range (Total scale)</t>
  </si>
  <si>
    <t>Descriptive labels for score range:</t>
  </si>
  <si>
    <t>6, 8, 10, 11, 23, 26, 27, 28</t>
  </si>
  <si>
    <t>8, 12, 22, 24, 25</t>
  </si>
  <si>
    <t>18, 62, 102, 122, 138, 165, 181</t>
  </si>
  <si>
    <t>I experienced breathing difficulty (e.g., excessively rapid breathing, breathlessness in the absence of physical exertion)</t>
  </si>
  <si>
    <t>© Lloyd &amp; Preece (2023) | The Psychology Centre of Western Australia</t>
  </si>
  <si>
    <t>I was aware of the action of my heart in the absence of physical exertion (e.g., sense of heart rate increase, heart missing a beat)</t>
  </si>
  <si>
    <t>PTSD Checklist for DSM-5 (PCL-5; Weathers et al., 2013)</t>
  </si>
  <si>
    <t>Version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</si>
</sst>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d/mm/yyyy;@"/>
  </numFmts>
  <fonts count="67" x14ac:knownFonts="1">
    <font>
      <sz val="12"/>
      <color theme="1"/>
      <name val="Calibri"/>
      <family val="2"/>
      <scheme val="minor"/>
    </font>
    <font>
      <b/>
      <sz val="12"/>
      <color theme="1"/>
      <name val="Calibri"/>
      <family val="2"/>
      <scheme val="minor"/>
    </font>
    <font>
      <b/>
      <sz val="14"/>
      <color theme="1"/>
      <name val="Calibri"/>
      <family val="2"/>
      <scheme val="minor"/>
    </font>
    <font>
      <sz val="12"/>
      <color rgb="FF000000"/>
      <name val="Calibri"/>
      <family val="2"/>
      <scheme val="minor"/>
    </font>
    <font>
      <b/>
      <sz val="14"/>
      <color indexed="8"/>
      <name val="Calibri"/>
      <family val="2"/>
      <scheme val="minor"/>
    </font>
    <font>
      <b/>
      <sz val="12"/>
      <color rgb="FF000000"/>
      <name val="Calibri"/>
      <family val="2"/>
      <scheme val="minor"/>
    </font>
    <font>
      <sz val="10"/>
      <color theme="1"/>
      <name val="Calibri"/>
      <family val="2"/>
      <scheme val="minor"/>
    </font>
    <font>
      <b/>
      <sz val="16"/>
      <color theme="1"/>
      <name val="Calibri"/>
      <family val="2"/>
      <scheme val="minor"/>
    </font>
    <font>
      <b/>
      <sz val="16"/>
      <color indexed="8"/>
      <name val="Calibri"/>
      <family val="2"/>
      <scheme val="minor"/>
    </font>
    <font>
      <sz val="14"/>
      <color theme="1"/>
      <name val="Calibri"/>
      <family val="2"/>
      <scheme val="minor"/>
    </font>
    <font>
      <i/>
      <sz val="12"/>
      <color theme="1"/>
      <name val="Calibri"/>
      <family val="2"/>
      <scheme val="minor"/>
    </font>
    <font>
      <i/>
      <sz val="12"/>
      <color rgb="FF000000"/>
      <name val="Calibri"/>
      <family val="2"/>
      <scheme val="minor"/>
    </font>
    <font>
      <u/>
      <sz val="12"/>
      <color theme="10"/>
      <name val="Calibri"/>
      <family val="2"/>
      <scheme val="minor"/>
    </font>
    <font>
      <sz val="12"/>
      <color theme="0"/>
      <name val="Calibri"/>
      <family val="2"/>
      <scheme val="minor"/>
    </font>
    <font>
      <sz val="12"/>
      <color rgb="FFFF0000"/>
      <name val="Calibri"/>
      <family val="2"/>
      <scheme val="minor"/>
    </font>
    <font>
      <b/>
      <sz val="14"/>
      <color theme="5"/>
      <name val="Calibri"/>
      <family val="2"/>
      <scheme val="minor"/>
    </font>
    <font>
      <sz val="8"/>
      <name val="Calibri"/>
      <family val="2"/>
      <scheme val="minor"/>
    </font>
    <font>
      <b/>
      <sz val="14"/>
      <color theme="0"/>
      <name val="Calibri"/>
      <family val="2"/>
      <scheme val="minor"/>
    </font>
    <font>
      <sz val="12"/>
      <name val="Calibri"/>
      <family val="2"/>
      <scheme val="minor"/>
    </font>
    <font>
      <b/>
      <sz val="12"/>
      <name val="Calibri"/>
      <family val="2"/>
      <scheme val="minor"/>
    </font>
    <font>
      <i/>
      <sz val="12"/>
      <name val="Calibri"/>
      <family val="2"/>
      <scheme val="minor"/>
    </font>
    <font>
      <b/>
      <sz val="14"/>
      <name val="Calibri"/>
      <family val="2"/>
      <scheme val="minor"/>
    </font>
    <font>
      <sz val="12"/>
      <color rgb="FF222222"/>
      <name val="Calibri"/>
      <family val="2"/>
      <scheme val="minor"/>
    </font>
    <font>
      <i/>
      <sz val="12"/>
      <color rgb="FF222222"/>
      <name val="Calibri"/>
      <family val="2"/>
      <scheme val="minor"/>
    </font>
    <font>
      <b/>
      <sz val="12"/>
      <color rgb="FFFF0000"/>
      <name val="Calibri"/>
      <family val="2"/>
      <scheme val="minor"/>
    </font>
    <font>
      <sz val="24"/>
      <color theme="0"/>
      <name val="Calibri Light"/>
      <family val="2"/>
      <scheme val="major"/>
    </font>
    <font>
      <sz val="24"/>
      <color indexed="9"/>
      <name val="Calibri Light"/>
      <family val="2"/>
      <scheme val="major"/>
    </font>
    <font>
      <sz val="24"/>
      <color theme="1"/>
      <name val="Calibri Light"/>
      <family val="2"/>
      <scheme val="major"/>
    </font>
    <font>
      <sz val="12"/>
      <color theme="7" tint="0.39997558519241921"/>
      <name val="Calibri"/>
      <family val="2"/>
      <scheme val="minor"/>
    </font>
    <font>
      <b/>
      <sz val="14"/>
      <color theme="7" tint="0.39997558519241921"/>
      <name val="Calibri"/>
      <family val="2"/>
      <scheme val="minor"/>
    </font>
    <font>
      <b/>
      <sz val="12"/>
      <color theme="7" tint="0.39997558519241921"/>
      <name val="Calibri"/>
      <family val="2"/>
      <scheme val="minor"/>
    </font>
    <font>
      <b/>
      <u/>
      <sz val="14"/>
      <color theme="10"/>
      <name val="Calibri"/>
      <family val="2"/>
      <scheme val="minor"/>
    </font>
    <font>
      <sz val="16"/>
      <color theme="0"/>
      <name val="Calibri Light"/>
      <family val="2"/>
      <scheme val="major"/>
    </font>
    <font>
      <b/>
      <sz val="14"/>
      <color rgb="FF000000"/>
      <name val="Calibri"/>
      <family val="2"/>
      <scheme val="minor"/>
    </font>
    <font>
      <b/>
      <u/>
      <sz val="14"/>
      <color rgb="FF0563C1"/>
      <name val="Calibri"/>
      <family val="2"/>
      <scheme val="minor"/>
    </font>
    <font>
      <b/>
      <sz val="12"/>
      <color theme="0"/>
      <name val="Calibri"/>
      <family val="2"/>
      <scheme val="minor"/>
    </font>
    <font>
      <b/>
      <sz val="16"/>
      <color theme="1"/>
      <name val="Calibri Light"/>
      <family val="2"/>
      <scheme val="major"/>
    </font>
    <font>
      <b/>
      <u/>
      <sz val="14"/>
      <color rgb="FFFF0000"/>
      <name val="Calibri"/>
      <family val="2"/>
      <scheme val="minor"/>
    </font>
    <font>
      <sz val="24"/>
      <color indexed="9"/>
      <name val="Times New Roman"/>
      <family val="1"/>
    </font>
    <font>
      <sz val="24"/>
      <color rgb="FFFFFFFF"/>
      <name val="Times New Roman"/>
      <family val="1"/>
    </font>
    <font>
      <sz val="24"/>
      <color theme="1"/>
      <name val="Times New Roman"/>
      <family val="1"/>
    </font>
    <font>
      <sz val="14"/>
      <color theme="0"/>
      <name val="Times New Roman"/>
      <family val="1"/>
    </font>
    <font>
      <sz val="12"/>
      <color theme="1"/>
      <name val="Times New Roman"/>
      <family val="1"/>
    </font>
    <font>
      <u/>
      <sz val="12"/>
      <name val="Calibri"/>
      <family val="2"/>
      <scheme val="minor"/>
    </font>
    <font>
      <sz val="11"/>
      <color rgb="FF222222"/>
      <name val="Calibri"/>
      <family val="2"/>
      <scheme val="minor"/>
    </font>
    <font>
      <i/>
      <sz val="11"/>
      <color rgb="FF222222"/>
      <name val="Calibri"/>
      <family val="2"/>
      <scheme val="minor"/>
    </font>
    <font>
      <sz val="36"/>
      <color theme="0"/>
      <name val="Times New Roman"/>
      <family val="1"/>
    </font>
    <font>
      <sz val="12"/>
      <color rgb="FF222222"/>
      <name val="Calibri"/>
      <family val="2"/>
    </font>
    <font>
      <i/>
      <sz val="12"/>
      <color rgb="FF222222"/>
      <name val="Calibri"/>
      <family val="2"/>
    </font>
    <font>
      <b/>
      <sz val="14"/>
      <color theme="5" tint="0.79998168889431442"/>
      <name val="Calibri"/>
      <family val="2"/>
      <scheme val="minor"/>
    </font>
    <font>
      <sz val="15"/>
      <color theme="1"/>
      <name val="Calibri"/>
      <family val="2"/>
      <scheme val="minor"/>
    </font>
    <font>
      <sz val="15"/>
      <color indexed="9"/>
      <name val="Calibri Light"/>
      <family val="2"/>
      <scheme val="major"/>
    </font>
    <font>
      <b/>
      <sz val="15"/>
      <color theme="1"/>
      <name val="Calibri"/>
      <family val="2"/>
      <scheme val="minor"/>
    </font>
    <font>
      <sz val="15"/>
      <color theme="0"/>
      <name val="Calibri Light"/>
      <family val="2"/>
      <scheme val="major"/>
    </font>
    <font>
      <b/>
      <u/>
      <sz val="12"/>
      <color rgb="FF0563C1"/>
      <name val="Calibri"/>
      <family val="2"/>
      <scheme val="minor"/>
    </font>
    <font>
      <sz val="18"/>
      <color theme="1"/>
      <name val="Calibri"/>
      <family val="2"/>
      <scheme val="minor"/>
    </font>
    <font>
      <sz val="18"/>
      <color indexed="9"/>
      <name val="Calibri Light"/>
      <family val="2"/>
      <scheme val="major"/>
    </font>
    <font>
      <b/>
      <sz val="18"/>
      <color theme="1"/>
      <name val="Calibri"/>
      <family val="2"/>
      <scheme val="minor"/>
    </font>
    <font>
      <sz val="12"/>
      <color theme="1"/>
      <name val="Calibri"/>
      <family val="2"/>
      <scheme val="minor"/>
    </font>
    <font>
      <u/>
      <sz val="12"/>
      <color theme="1"/>
      <name val="Calibri"/>
      <family val="2"/>
      <scheme val="minor"/>
    </font>
    <font>
      <sz val="12"/>
      <color rgb="FF000000"/>
      <name val="Calibri"/>
      <family val="2"/>
      <scheme val="minor"/>
    </font>
    <font>
      <b/>
      <sz val="12"/>
      <color theme="9" tint="0.39997558519241921"/>
      <name val="Calibri"/>
      <family val="2"/>
      <scheme val="minor"/>
    </font>
    <font>
      <b/>
      <sz val="14"/>
      <color theme="9" tint="0.39997558519241921"/>
      <name val="Calibri"/>
      <family val="2"/>
      <scheme val="minor"/>
    </font>
    <font>
      <sz val="12"/>
      <color theme="0"/>
      <name val="Times New Roman"/>
      <family val="1"/>
    </font>
    <font>
      <u/>
      <sz val="18"/>
      <color theme="0"/>
      <name val="Times New Roman"/>
      <family val="1"/>
    </font>
    <font>
      <sz val="20"/>
      <color theme="0"/>
      <name val="Times New Roman"/>
      <family val="1"/>
    </font>
    <font>
      <sz val="18"/>
      <color theme="0"/>
      <name val="Times New Roman"/>
      <family val="1"/>
    </font>
  </fonts>
  <fills count="10">
    <fill>
      <patternFill patternType="none"/>
    </fill>
    <fill>
      <patternFill patternType="gray125"/>
    </fill>
    <fill>
      <patternFill patternType="solid">
        <fgColor theme="4"/>
        <bgColor indexed="64"/>
      </patternFill>
    </fill>
    <fill>
      <patternFill patternType="solid">
        <fgColor theme="2"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5" tint="0.79998168889431442"/>
        <bgColor rgb="FF000000"/>
      </patternFill>
    </fill>
    <fill>
      <patternFill patternType="solid">
        <fgColor theme="2" tint="0.39997558519241921"/>
        <bgColor indexed="64"/>
      </patternFill>
    </fill>
  </fills>
  <borders count="57">
    <border>
      <left/>
      <right/>
      <top/>
      <bottom/>
      <diagonal/>
    </border>
    <border>
      <left/>
      <right/>
      <top style="thin">
        <color theme="2"/>
      </top>
      <bottom/>
      <diagonal/>
    </border>
    <border>
      <left style="thin">
        <color theme="2"/>
      </left>
      <right/>
      <top style="thin">
        <color theme="2"/>
      </top>
      <bottom/>
      <diagonal/>
    </border>
    <border>
      <left style="thin">
        <color theme="2"/>
      </left>
      <right/>
      <top/>
      <bottom/>
      <diagonal/>
    </border>
    <border>
      <left/>
      <right/>
      <top/>
      <bottom style="thin">
        <color theme="2"/>
      </bottom>
      <diagonal/>
    </border>
    <border>
      <left style="thin">
        <color theme="2"/>
      </left>
      <right/>
      <top/>
      <bottom style="thin">
        <color theme="2"/>
      </bottom>
      <diagonal/>
    </border>
    <border>
      <left/>
      <right style="thin">
        <color theme="2"/>
      </right>
      <top/>
      <bottom/>
      <diagonal/>
    </border>
    <border>
      <left/>
      <right style="thin">
        <color theme="2"/>
      </right>
      <top style="thin">
        <color theme="2"/>
      </top>
      <bottom/>
      <diagonal/>
    </border>
    <border>
      <left/>
      <right style="thin">
        <color theme="2"/>
      </right>
      <top/>
      <bottom style="thin">
        <color theme="2"/>
      </bottom>
      <diagonal/>
    </border>
    <border>
      <left style="thin">
        <color rgb="FF868896"/>
      </left>
      <right/>
      <top/>
      <bottom/>
      <diagonal/>
    </border>
    <border>
      <left/>
      <right style="thin">
        <color rgb="FF868896"/>
      </right>
      <top/>
      <bottom/>
      <diagonal/>
    </border>
    <border>
      <left style="thin">
        <color rgb="FF868896"/>
      </left>
      <right/>
      <top style="thin">
        <color rgb="FF868896"/>
      </top>
      <bottom/>
      <diagonal/>
    </border>
    <border>
      <left/>
      <right/>
      <top style="thin">
        <color rgb="FF868896"/>
      </top>
      <bottom/>
      <diagonal/>
    </border>
    <border>
      <left/>
      <right style="thin">
        <color rgb="FF868896"/>
      </right>
      <top style="thin">
        <color rgb="FF868896"/>
      </top>
      <bottom/>
      <diagonal/>
    </border>
    <border>
      <left style="thin">
        <color rgb="FF868896"/>
      </left>
      <right/>
      <top/>
      <bottom style="thin">
        <color rgb="FF868896"/>
      </bottom>
      <diagonal/>
    </border>
    <border>
      <left/>
      <right/>
      <top/>
      <bottom style="thin">
        <color rgb="FF868896"/>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bottom style="thin">
        <color indexed="64"/>
      </bottom>
      <diagonal/>
    </border>
    <border>
      <left style="thin">
        <color theme="0" tint="-0.249977111117893"/>
      </left>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2"/>
      </left>
      <right/>
      <top style="thin">
        <color theme="2"/>
      </top>
      <bottom style="thin">
        <color theme="2"/>
      </bottom>
      <diagonal/>
    </border>
    <border>
      <left/>
      <right/>
      <top style="thin">
        <color theme="2"/>
      </top>
      <bottom style="thin">
        <color theme="2"/>
      </bottom>
      <diagonal/>
    </border>
    <border>
      <left/>
      <right style="thin">
        <color theme="2"/>
      </right>
      <top style="thin">
        <color theme="2"/>
      </top>
      <bottom style="thin">
        <color theme="2"/>
      </bottom>
      <diagonal/>
    </border>
    <border>
      <left style="thin">
        <color theme="1" tint="0.34998626667073579"/>
      </left>
      <right/>
      <top/>
      <bottom/>
      <diagonal/>
    </border>
    <border>
      <left style="medium">
        <color theme="2" tint="-0.499984740745262"/>
      </left>
      <right/>
      <top style="medium">
        <color theme="2" tint="-0.499984740745262"/>
      </top>
      <bottom/>
      <diagonal/>
    </border>
    <border>
      <left/>
      <right/>
      <top style="medium">
        <color theme="2" tint="-0.499984740745262"/>
      </top>
      <bottom/>
      <diagonal/>
    </border>
    <border>
      <left/>
      <right style="medium">
        <color theme="2" tint="-0.499984740745262"/>
      </right>
      <top style="medium">
        <color theme="2" tint="-0.499984740745262"/>
      </top>
      <bottom/>
      <diagonal/>
    </border>
    <border>
      <left style="medium">
        <color theme="2" tint="-0.499984740745262"/>
      </left>
      <right/>
      <top/>
      <bottom/>
      <diagonal/>
    </border>
    <border>
      <left/>
      <right style="medium">
        <color theme="2" tint="-0.499984740745262"/>
      </right>
      <top/>
      <bottom/>
      <diagonal/>
    </border>
    <border>
      <left style="medium">
        <color theme="2" tint="-0.499984740745262"/>
      </left>
      <right/>
      <top/>
      <bottom style="medium">
        <color theme="2" tint="-0.499984740745262"/>
      </bottom>
      <diagonal/>
    </border>
    <border>
      <left/>
      <right/>
      <top/>
      <bottom style="medium">
        <color theme="2" tint="-0.499984740745262"/>
      </bottom>
      <diagonal/>
    </border>
    <border>
      <left/>
      <right style="medium">
        <color theme="2" tint="-0.499984740745262"/>
      </right>
      <top/>
      <bottom style="medium">
        <color theme="2" tint="-0.499984740745262"/>
      </bottom>
      <diagonal/>
    </border>
    <border>
      <left style="medium">
        <color theme="2" tint="-0.499984740745262"/>
      </left>
      <right style="medium">
        <color theme="2" tint="-0.499984740745262"/>
      </right>
      <top style="medium">
        <color theme="2" tint="-0.499984740745262"/>
      </top>
      <bottom style="thin">
        <color theme="2"/>
      </bottom>
      <diagonal/>
    </border>
    <border>
      <left style="medium">
        <color theme="2" tint="-0.499984740745262"/>
      </left>
      <right style="medium">
        <color theme="2" tint="-0.499984740745262"/>
      </right>
      <top style="thin">
        <color theme="2"/>
      </top>
      <bottom style="thin">
        <color theme="2"/>
      </bottom>
      <diagonal/>
    </border>
    <border>
      <left style="medium">
        <color theme="2" tint="-0.499984740745262"/>
      </left>
      <right style="medium">
        <color theme="2" tint="-0.499984740745262"/>
      </right>
      <top style="medium">
        <color theme="2" tint="-0.499984740745262"/>
      </top>
      <bottom/>
      <diagonal/>
    </border>
    <border>
      <left style="medium">
        <color theme="2" tint="-0.499984740745262"/>
      </left>
      <right style="medium">
        <color theme="2" tint="-0.499984740745262"/>
      </right>
      <top/>
      <bottom style="thin">
        <color theme="2"/>
      </bottom>
      <diagonal/>
    </border>
    <border>
      <left style="medium">
        <color theme="2" tint="-0.499984740745262"/>
      </left>
      <right style="medium">
        <color theme="2" tint="-0.499984740745262"/>
      </right>
      <top/>
      <bottom/>
      <diagonal/>
    </border>
    <border>
      <left style="medium">
        <color theme="2" tint="-0.499984740745262"/>
      </left>
      <right style="medium">
        <color theme="2" tint="-0.499984740745262"/>
      </right>
      <top/>
      <bottom style="medium">
        <color theme="2" tint="-0.499984740745262"/>
      </bottom>
      <diagonal/>
    </border>
    <border>
      <left style="medium">
        <color theme="2" tint="-0.499984740745262"/>
      </left>
      <right style="medium">
        <color theme="2" tint="-0.499984740745262"/>
      </right>
      <top/>
      <bottom style="thin">
        <color indexed="64"/>
      </bottom>
      <diagonal/>
    </border>
    <border>
      <left style="medium">
        <color theme="2" tint="-0.499984740745262"/>
      </left>
      <right style="medium">
        <color theme="2" tint="-0.499984740745262"/>
      </right>
      <top style="thin">
        <color indexed="64"/>
      </top>
      <bottom style="thin">
        <color theme="0" tint="-0.249977111117893"/>
      </bottom>
      <diagonal/>
    </border>
    <border>
      <left style="medium">
        <color theme="2" tint="-0.499984740745262"/>
      </left>
      <right style="medium">
        <color theme="2" tint="-0.499984740745262"/>
      </right>
      <top style="thin">
        <color theme="0" tint="-0.249977111117893"/>
      </top>
      <bottom style="thin">
        <color theme="0" tint="-0.249977111117893"/>
      </bottom>
      <diagonal/>
    </border>
    <border>
      <left style="thin">
        <color theme="2"/>
      </left>
      <right style="thin">
        <color theme="2"/>
      </right>
      <top style="thin">
        <color theme="2"/>
      </top>
      <bottom/>
      <diagonal/>
    </border>
    <border>
      <left style="thin">
        <color theme="2"/>
      </left>
      <right style="thin">
        <color theme="2"/>
      </right>
      <top/>
      <bottom/>
      <diagonal/>
    </border>
    <border>
      <left style="thin">
        <color theme="2"/>
      </left>
      <right style="thin">
        <color theme="2"/>
      </right>
      <top/>
      <bottom style="thin">
        <color theme="2"/>
      </bottom>
      <diagonal/>
    </border>
    <border>
      <left style="thin">
        <color theme="2"/>
      </left>
      <right style="medium">
        <color indexed="64"/>
      </right>
      <top style="thin">
        <color theme="2"/>
      </top>
      <bottom style="thin">
        <color theme="2"/>
      </bottom>
      <diagonal/>
    </border>
    <border>
      <left style="medium">
        <color theme="2" tint="-0.499984740745262"/>
      </left>
      <right style="medium">
        <color indexed="64"/>
      </right>
      <top/>
      <bottom style="medium">
        <color theme="2" tint="-0.499984740745262"/>
      </bottom>
      <diagonal/>
    </border>
    <border>
      <left style="medium">
        <color indexed="64"/>
      </left>
      <right style="medium">
        <color theme="2" tint="-0.499984740745262"/>
      </right>
      <top style="thin">
        <color theme="2"/>
      </top>
      <bottom style="thin">
        <color theme="3" tint="0.39997558519241921"/>
      </bottom>
      <diagonal/>
    </border>
    <border>
      <left style="medium">
        <color indexed="64"/>
      </left>
      <right style="medium">
        <color indexed="64"/>
      </right>
      <top style="thin">
        <color theme="3" tint="0.39997558519241921"/>
      </top>
      <bottom style="thin">
        <color theme="3" tint="0.39997558519241921"/>
      </bottom>
      <diagonal/>
    </border>
    <border>
      <left/>
      <right/>
      <top style="thin">
        <color indexed="64"/>
      </top>
      <bottom/>
      <diagonal/>
    </border>
    <border>
      <left/>
      <right/>
      <top style="thin">
        <color indexed="64"/>
      </top>
      <bottom style="thin">
        <color indexed="64"/>
      </bottom>
      <diagonal/>
    </border>
    <border>
      <left/>
      <right style="medium">
        <color theme="2" tint="-0.499984740745262"/>
      </right>
      <top/>
      <bottom style="thin">
        <color indexed="64"/>
      </bottom>
      <diagonal/>
    </border>
    <border>
      <left/>
      <right style="medium">
        <color theme="2" tint="-0.499984740745262"/>
      </right>
      <top style="thin">
        <color indexed="64"/>
      </top>
      <bottom/>
      <diagonal/>
    </border>
    <border>
      <left/>
      <right style="medium">
        <color theme="2" tint="-0.499984740745262"/>
      </right>
      <top style="thin">
        <color indexed="64"/>
      </top>
      <bottom style="thin">
        <color indexed="64"/>
      </bottom>
      <diagonal/>
    </border>
    <border>
      <left style="thin">
        <color theme="2"/>
      </left>
      <right style="thin">
        <color indexed="64"/>
      </right>
      <top style="thin">
        <color theme="2"/>
      </top>
      <bottom/>
      <diagonal/>
    </border>
    <border>
      <left style="thin">
        <color theme="2"/>
      </left>
      <right style="thin">
        <color indexed="64"/>
      </right>
      <top/>
      <bottom/>
      <diagonal/>
    </border>
    <border>
      <left style="thin">
        <color theme="2"/>
      </left>
      <right style="thin">
        <color indexed="64"/>
      </right>
      <top/>
      <bottom style="thin">
        <color theme="2"/>
      </bottom>
      <diagonal/>
    </border>
  </borders>
  <cellStyleXfs count="3">
    <xf numFmtId="0" fontId="0" fillId="0" borderId="0">
      <alignment horizontal="left"/>
    </xf>
    <xf numFmtId="0" fontId="12" fillId="0" borderId="0" applyNumberFormat="0" applyFill="0" applyBorder="0" applyAlignment="0" applyProtection="0">
      <alignment horizontal="left"/>
    </xf>
    <xf numFmtId="9" fontId="58" fillId="0" borderId="0" applyFont="0" applyFill="0" applyBorder="0" applyAlignment="0" applyProtection="0"/>
  </cellStyleXfs>
  <cellXfs count="395">
    <xf numFmtId="0" fontId="0" fillId="0" borderId="0" xfId="0">
      <alignment horizontal="left"/>
    </xf>
    <xf numFmtId="0" fontId="2" fillId="6" borderId="25" xfId="0" applyFont="1" applyFill="1" applyBorder="1" applyAlignment="1" applyProtection="1">
      <alignment wrapText="1"/>
      <protection hidden="1"/>
    </xf>
    <xf numFmtId="0" fontId="0" fillId="6" borderId="28" xfId="0" applyFill="1" applyBorder="1" applyAlignment="1" applyProtection="1">
      <alignment wrapText="1"/>
      <protection hidden="1"/>
    </xf>
    <xf numFmtId="0" fontId="0" fillId="6" borderId="28" xfId="0" applyFill="1" applyBorder="1" applyAlignment="1" applyProtection="1">
      <alignment vertical="center" wrapText="1"/>
      <protection hidden="1"/>
    </xf>
    <xf numFmtId="0" fontId="2" fillId="6" borderId="28" xfId="0" applyFont="1" applyFill="1" applyBorder="1" applyAlignment="1" applyProtection="1">
      <protection hidden="1"/>
    </xf>
    <xf numFmtId="0" fontId="2" fillId="6" borderId="28" xfId="0" applyFont="1" applyFill="1" applyBorder="1" applyAlignment="1" applyProtection="1">
      <alignment wrapText="1"/>
      <protection hidden="1"/>
    </xf>
    <xf numFmtId="0" fontId="18" fillId="6" borderId="28" xfId="0" applyFont="1" applyFill="1" applyBorder="1" applyAlignment="1" applyProtection="1">
      <alignment vertical="center" wrapText="1"/>
      <protection hidden="1"/>
    </xf>
    <xf numFmtId="0" fontId="12" fillId="6" borderId="28" xfId="1" applyFill="1" applyBorder="1" applyAlignment="1" applyProtection="1">
      <alignment horizontal="left" wrapText="1" indent="2"/>
      <protection hidden="1"/>
    </xf>
    <xf numFmtId="0" fontId="0" fillId="0" borderId="21" xfId="0" applyBorder="1" applyAlignment="1" applyProtection="1">
      <alignment vertical="center"/>
      <protection hidden="1"/>
    </xf>
    <xf numFmtId="0" fontId="0" fillId="4" borderId="21" xfId="0" applyFill="1" applyBorder="1" applyAlignment="1" applyProtection="1">
      <alignment vertical="center"/>
      <protection hidden="1"/>
    </xf>
    <xf numFmtId="0" fontId="0" fillId="0" borderId="45" xfId="0" applyBorder="1" applyAlignment="1" applyProtection="1">
      <alignment vertical="center"/>
      <protection hidden="1"/>
    </xf>
    <xf numFmtId="0" fontId="0" fillId="4" borderId="45" xfId="0" applyFill="1" applyBorder="1" applyAlignment="1" applyProtection="1">
      <alignment vertical="center"/>
      <protection hidden="1"/>
    </xf>
    <xf numFmtId="0" fontId="0" fillId="0" borderId="21" xfId="0" applyBorder="1" applyAlignment="1" applyProtection="1">
      <alignment horizontal="left" vertical="top"/>
      <protection hidden="1"/>
    </xf>
    <xf numFmtId="0" fontId="0" fillId="6" borderId="26" xfId="0" applyFill="1" applyBorder="1" applyAlignment="1" applyProtection="1">
      <alignment vertical="center"/>
      <protection hidden="1"/>
    </xf>
    <xf numFmtId="0" fontId="0" fillId="6" borderId="27" xfId="0" applyFill="1" applyBorder="1" applyAlignment="1" applyProtection="1">
      <alignment vertical="center"/>
      <protection hidden="1"/>
    </xf>
    <xf numFmtId="0" fontId="1" fillId="6" borderId="28" xfId="0" applyFont="1" applyFill="1" applyBorder="1" applyAlignment="1" applyProtection="1">
      <alignment wrapText="1"/>
      <protection hidden="1"/>
    </xf>
    <xf numFmtId="0" fontId="0" fillId="6" borderId="28" xfId="0" applyFill="1" applyBorder="1" applyAlignment="1" applyProtection="1">
      <alignment horizontal="left" vertical="center" wrapText="1" indent="2"/>
      <protection hidden="1"/>
    </xf>
    <xf numFmtId="0" fontId="18" fillId="6" borderId="28" xfId="0" applyFont="1" applyFill="1" applyBorder="1" applyAlignment="1" applyProtection="1">
      <alignment horizontal="left" vertical="center" wrapText="1" indent="2"/>
      <protection hidden="1"/>
    </xf>
    <xf numFmtId="0" fontId="0" fillId="6" borderId="28" xfId="0" applyFill="1" applyBorder="1" applyAlignment="1" applyProtection="1">
      <alignment vertical="center"/>
      <protection hidden="1"/>
    </xf>
    <xf numFmtId="0" fontId="0" fillId="6" borderId="30" xfId="0" applyFill="1" applyBorder="1" applyAlignment="1" applyProtection="1">
      <alignment horizontal="left" vertical="top" wrapText="1" indent="2"/>
      <protection hidden="1"/>
    </xf>
    <xf numFmtId="0" fontId="0" fillId="2" borderId="0" xfId="0" applyFill="1" applyProtection="1">
      <alignment horizontal="left"/>
      <protection hidden="1"/>
    </xf>
    <xf numFmtId="0" fontId="55" fillId="2" borderId="0" xfId="0" applyFont="1" applyFill="1" applyProtection="1">
      <alignment horizontal="left"/>
      <protection hidden="1"/>
    </xf>
    <xf numFmtId="0" fontId="46" fillId="2" borderId="0" xfId="0" applyFont="1" applyFill="1" applyAlignment="1" applyProtection="1">
      <alignment vertical="center"/>
      <protection hidden="1"/>
    </xf>
    <xf numFmtId="0" fontId="26" fillId="2" borderId="0" xfId="0" applyFont="1" applyFill="1" applyAlignment="1" applyProtection="1">
      <protection hidden="1"/>
    </xf>
    <xf numFmtId="0" fontId="56" fillId="2" borderId="0" xfId="0" applyFont="1" applyFill="1" applyAlignment="1" applyProtection="1">
      <protection hidden="1"/>
    </xf>
    <xf numFmtId="0" fontId="0" fillId="5" borderId="3" xfId="0" applyFill="1" applyBorder="1" applyProtection="1">
      <alignment horizontal="left"/>
      <protection hidden="1"/>
    </xf>
    <xf numFmtId="0" fontId="0" fillId="5" borderId="0" xfId="0" applyFill="1" applyProtection="1">
      <alignment horizontal="left"/>
      <protection hidden="1"/>
    </xf>
    <xf numFmtId="0" fontId="55" fillId="0" borderId="0" xfId="0" applyFont="1" applyProtection="1">
      <alignment horizontal="left"/>
      <protection hidden="1"/>
    </xf>
    <xf numFmtId="0" fontId="0" fillId="0" borderId="0" xfId="0" applyProtection="1">
      <alignment horizontal="left"/>
      <protection hidden="1"/>
    </xf>
    <xf numFmtId="0" fontId="2" fillId="6" borderId="26" xfId="0" applyFont="1" applyFill="1" applyBorder="1" applyAlignment="1" applyProtection="1">
      <alignment wrapText="1"/>
      <protection hidden="1"/>
    </xf>
    <xf numFmtId="0" fontId="2" fillId="6" borderId="27" xfId="0" applyFont="1" applyFill="1" applyBorder="1" applyAlignment="1" applyProtection="1">
      <alignment wrapText="1"/>
      <protection hidden="1"/>
    </xf>
    <xf numFmtId="0" fontId="0" fillId="5" borderId="0" xfId="0" applyFill="1" applyAlignment="1" applyProtection="1">
      <alignment vertical="center"/>
      <protection hidden="1"/>
    </xf>
    <xf numFmtId="0" fontId="55" fillId="5" borderId="0" xfId="0" applyFont="1" applyFill="1" applyAlignment="1" applyProtection="1">
      <alignment vertical="center"/>
      <protection hidden="1"/>
    </xf>
    <xf numFmtId="0" fontId="0" fillId="0" borderId="0" xfId="0" applyAlignment="1" applyProtection="1">
      <alignment vertical="center"/>
      <protection hidden="1"/>
    </xf>
    <xf numFmtId="0" fontId="2" fillId="6" borderId="0" xfId="0" applyFont="1" applyFill="1" applyAlignment="1" applyProtection="1">
      <alignment wrapText="1"/>
      <protection hidden="1"/>
    </xf>
    <xf numFmtId="0" fontId="2" fillId="6" borderId="29" xfId="0" applyFont="1" applyFill="1" applyBorder="1" applyAlignment="1" applyProtection="1">
      <alignment wrapText="1"/>
      <protection hidden="1"/>
    </xf>
    <xf numFmtId="0" fontId="2" fillId="6" borderId="0" xfId="0" applyFont="1" applyFill="1" applyAlignment="1" applyProtection="1">
      <protection hidden="1"/>
    </xf>
    <xf numFmtId="0" fontId="2" fillId="6" borderId="29" xfId="0" applyFont="1" applyFill="1" applyBorder="1" applyAlignment="1" applyProtection="1">
      <protection hidden="1"/>
    </xf>
    <xf numFmtId="0" fontId="2" fillId="6" borderId="29" xfId="0" applyFont="1" applyFill="1" applyBorder="1" applyAlignment="1" applyProtection="1">
      <alignment vertical="center" wrapText="1"/>
      <protection hidden="1"/>
    </xf>
    <xf numFmtId="0" fontId="31" fillId="6" borderId="0" xfId="1" applyFont="1" applyFill="1" applyBorder="1" applyAlignment="1" applyProtection="1">
      <alignment horizontal="left" wrapText="1"/>
      <protection hidden="1"/>
    </xf>
    <xf numFmtId="0" fontId="12" fillId="6" borderId="29" xfId="1" applyFill="1" applyBorder="1" applyAlignment="1" applyProtection="1">
      <alignment vertical="center" wrapText="1"/>
      <protection hidden="1"/>
    </xf>
    <xf numFmtId="0" fontId="37" fillId="6" borderId="0" xfId="1" applyFont="1" applyFill="1" applyBorder="1" applyAlignment="1" applyProtection="1">
      <alignment horizontal="left" wrapText="1"/>
      <protection hidden="1"/>
    </xf>
    <xf numFmtId="0" fontId="2" fillId="6" borderId="0" xfId="0" applyFont="1" applyFill="1" applyAlignment="1" applyProtection="1">
      <alignment vertical="center"/>
      <protection hidden="1"/>
    </xf>
    <xf numFmtId="0" fontId="0" fillId="6" borderId="29" xfId="0" applyFill="1" applyBorder="1" applyAlignment="1" applyProtection="1">
      <alignment vertical="center"/>
      <protection hidden="1"/>
    </xf>
    <xf numFmtId="0" fontId="31" fillId="6" borderId="0" xfId="1" applyFont="1" applyFill="1" applyBorder="1" applyAlignment="1" applyProtection="1">
      <alignment vertical="center"/>
      <protection hidden="1"/>
    </xf>
    <xf numFmtId="0" fontId="0" fillId="6" borderId="0" xfId="0" applyFill="1" applyAlignment="1" applyProtection="1">
      <alignment horizontal="left" vertical="center"/>
      <protection hidden="1"/>
    </xf>
    <xf numFmtId="0" fontId="31" fillId="6" borderId="0" xfId="1" applyFont="1" applyFill="1" applyBorder="1" applyAlignment="1" applyProtection="1">
      <alignment vertical="center" wrapText="1"/>
      <protection hidden="1"/>
    </xf>
    <xf numFmtId="0" fontId="9" fillId="6" borderId="0" xfId="0" applyFont="1" applyFill="1" applyAlignment="1" applyProtection="1">
      <alignment vertical="center" wrapText="1"/>
      <protection hidden="1"/>
    </xf>
    <xf numFmtId="0" fontId="0" fillId="6" borderId="29" xfId="0" applyFill="1" applyBorder="1" applyAlignment="1" applyProtection="1">
      <alignment vertical="center" wrapText="1"/>
      <protection hidden="1"/>
    </xf>
    <xf numFmtId="0" fontId="1" fillId="5" borderId="0" xfId="0" applyFont="1" applyFill="1" applyAlignment="1" applyProtection="1">
      <alignment vertical="center"/>
      <protection hidden="1"/>
    </xf>
    <xf numFmtId="0" fontId="57" fillId="5" borderId="0" xfId="0" applyFont="1" applyFill="1" applyAlignment="1" applyProtection="1">
      <alignment vertical="center"/>
      <protection hidden="1"/>
    </xf>
    <xf numFmtId="0" fontId="1" fillId="0" borderId="0" xfId="0" applyFont="1" applyAlignment="1" applyProtection="1">
      <alignment vertical="center"/>
      <protection hidden="1"/>
    </xf>
    <xf numFmtId="0" fontId="0" fillId="6" borderId="0" xfId="0" applyFill="1" applyAlignment="1" applyProtection="1">
      <alignment vertical="center"/>
      <protection hidden="1"/>
    </xf>
    <xf numFmtId="0" fontId="0" fillId="6" borderId="0" xfId="0" applyFill="1" applyAlignment="1" applyProtection="1">
      <alignment vertical="center" wrapText="1"/>
      <protection hidden="1"/>
    </xf>
    <xf numFmtId="0" fontId="0" fillId="6" borderId="0" xfId="0" applyFill="1" applyAlignment="1" applyProtection="1">
      <alignment horizontal="left" wrapText="1" indent="2"/>
      <protection hidden="1"/>
    </xf>
    <xf numFmtId="0" fontId="0" fillId="6" borderId="29" xfId="0" applyFill="1" applyBorder="1" applyAlignment="1" applyProtection="1">
      <alignment horizontal="left" wrapText="1" indent="2"/>
      <protection hidden="1"/>
    </xf>
    <xf numFmtId="0" fontId="0" fillId="6" borderId="31" xfId="0" applyFill="1" applyBorder="1" applyAlignment="1" applyProtection="1">
      <alignment horizontal="left" vertical="top" wrapText="1" indent="2"/>
      <protection hidden="1"/>
    </xf>
    <xf numFmtId="0" fontId="0" fillId="6" borderId="32" xfId="0" applyFill="1" applyBorder="1" applyAlignment="1" applyProtection="1">
      <alignment horizontal="left" vertical="top" wrapText="1" indent="2"/>
      <protection hidden="1"/>
    </xf>
    <xf numFmtId="0" fontId="50" fillId="2" borderId="0" xfId="0" applyFont="1" applyFill="1" applyProtection="1">
      <alignment horizontal="left"/>
      <protection hidden="1"/>
    </xf>
    <xf numFmtId="0" fontId="46" fillId="2" borderId="0" xfId="0" applyFont="1" applyFill="1" applyAlignment="1" applyProtection="1">
      <alignment horizontal="left" vertical="center"/>
      <protection hidden="1"/>
    </xf>
    <xf numFmtId="0" fontId="38" fillId="2" borderId="0" xfId="0" applyFont="1" applyFill="1" applyAlignment="1" applyProtection="1">
      <protection hidden="1"/>
    </xf>
    <xf numFmtId="0" fontId="51" fillId="2" borderId="0" xfId="0" applyFont="1" applyFill="1" applyAlignment="1" applyProtection="1">
      <protection hidden="1"/>
    </xf>
    <xf numFmtId="0" fontId="50" fillId="0" borderId="0" xfId="0" applyFont="1" applyAlignment="1" applyProtection="1">
      <alignment vertical="center"/>
      <protection hidden="1"/>
    </xf>
    <xf numFmtId="0" fontId="2" fillId="6" borderId="21" xfId="0" applyFont="1" applyFill="1" applyBorder="1" applyAlignment="1" applyProtection="1">
      <alignment vertical="center"/>
      <protection hidden="1"/>
    </xf>
    <xf numFmtId="0" fontId="2" fillId="7" borderId="33" xfId="0" applyFont="1" applyFill="1" applyBorder="1" applyAlignment="1" applyProtection="1">
      <alignment vertical="center"/>
      <protection hidden="1"/>
    </xf>
    <xf numFmtId="0" fontId="52" fillId="0" borderId="0" xfId="0" applyFont="1" applyAlignment="1" applyProtection="1">
      <alignment vertical="center"/>
      <protection hidden="1"/>
    </xf>
    <xf numFmtId="0" fontId="50" fillId="0" borderId="0" xfId="0" applyFont="1" applyProtection="1">
      <alignment horizontal="left"/>
      <protection hidden="1"/>
    </xf>
    <xf numFmtId="0" fontId="0" fillId="0" borderId="24" xfId="0" applyBorder="1" applyProtection="1">
      <alignment horizontal="left"/>
      <protection hidden="1"/>
    </xf>
    <xf numFmtId="0" fontId="1" fillId="0" borderId="0" xfId="0" applyFont="1" applyProtection="1">
      <alignment horizontal="left"/>
      <protection hidden="1"/>
    </xf>
    <xf numFmtId="0" fontId="27" fillId="2" borderId="0" xfId="0" applyFont="1" applyFill="1" applyProtection="1">
      <alignment horizontal="left"/>
      <protection hidden="1"/>
    </xf>
    <xf numFmtId="0" fontId="0" fillId="0" borderId="0" xfId="0" applyAlignment="1" applyProtection="1">
      <alignment vertical="center" wrapText="1"/>
      <protection hidden="1"/>
    </xf>
    <xf numFmtId="0" fontId="50" fillId="0" borderId="0" xfId="0" applyFont="1" applyAlignment="1" applyProtection="1">
      <alignment vertical="center" wrapText="1"/>
      <protection hidden="1"/>
    </xf>
    <xf numFmtId="0" fontId="36" fillId="6" borderId="0" xfId="0" applyFont="1" applyFill="1" applyProtection="1">
      <alignment horizontal="left"/>
      <protection hidden="1"/>
    </xf>
    <xf numFmtId="0" fontId="1" fillId="6" borderId="0" xfId="0" applyFont="1" applyFill="1" applyProtection="1">
      <alignment horizontal="left"/>
      <protection hidden="1"/>
    </xf>
    <xf numFmtId="0" fontId="2" fillId="6" borderId="25" xfId="0" applyFont="1" applyFill="1" applyBorder="1" applyProtection="1">
      <alignment horizontal="left"/>
      <protection hidden="1"/>
    </xf>
    <xf numFmtId="0" fontId="0" fillId="6" borderId="27" xfId="0" applyFill="1" applyBorder="1" applyProtection="1">
      <alignment horizontal="left"/>
      <protection hidden="1"/>
    </xf>
    <xf numFmtId="0" fontId="5" fillId="8" borderId="28" xfId="0" applyFont="1" applyFill="1" applyBorder="1" applyAlignment="1" applyProtection="1">
      <alignment wrapText="1"/>
      <protection hidden="1"/>
    </xf>
    <xf numFmtId="0" fontId="33" fillId="8" borderId="0" xfId="0" applyFont="1" applyFill="1" applyAlignment="1" applyProtection="1">
      <alignment wrapText="1"/>
      <protection hidden="1"/>
    </xf>
    <xf numFmtId="0" fontId="0" fillId="6" borderId="29" xfId="0" applyFill="1" applyBorder="1" applyProtection="1">
      <alignment horizontal="left"/>
      <protection hidden="1"/>
    </xf>
    <xf numFmtId="0" fontId="2" fillId="7" borderId="3" xfId="0" applyFont="1" applyFill="1" applyBorder="1" applyProtection="1">
      <alignment horizontal="left"/>
      <protection hidden="1"/>
    </xf>
    <xf numFmtId="0" fontId="2" fillId="7" borderId="0" xfId="0" applyFont="1" applyFill="1" applyProtection="1">
      <alignment horizontal="left"/>
      <protection hidden="1"/>
    </xf>
    <xf numFmtId="0" fontId="0" fillId="7" borderId="0" xfId="0" applyFill="1" applyAlignment="1" applyProtection="1">
      <alignment horizontal="center"/>
      <protection hidden="1"/>
    </xf>
    <xf numFmtId="0" fontId="28" fillId="7" borderId="0" xfId="0" applyFont="1" applyFill="1" applyAlignment="1" applyProtection="1">
      <alignment horizontal="center"/>
      <protection hidden="1"/>
    </xf>
    <xf numFmtId="0" fontId="3" fillId="8" borderId="28" xfId="0" applyFont="1" applyFill="1" applyBorder="1" applyAlignment="1" applyProtection="1">
      <alignment horizontal="left" vertical="top" wrapText="1" indent="2"/>
      <protection hidden="1"/>
    </xf>
    <xf numFmtId="0" fontId="34" fillId="8" borderId="0" xfId="0" applyFont="1" applyFill="1" applyAlignment="1" applyProtection="1">
      <alignment horizontal="left" wrapText="1"/>
      <protection hidden="1"/>
    </xf>
    <xf numFmtId="0" fontId="1" fillId="6" borderId="3" xfId="0" applyFont="1" applyFill="1" applyBorder="1" applyProtection="1">
      <alignment horizontal="left"/>
      <protection hidden="1"/>
    </xf>
    <xf numFmtId="0" fontId="1" fillId="6" borderId="3" xfId="0" applyFont="1" applyFill="1" applyBorder="1" applyAlignment="1" applyProtection="1">
      <alignment horizontal="center"/>
      <protection hidden="1"/>
    </xf>
    <xf numFmtId="0" fontId="1" fillId="6" borderId="0" xfId="0" applyFont="1" applyFill="1" applyAlignment="1" applyProtection="1">
      <alignment horizontal="center"/>
      <protection hidden="1"/>
    </xf>
    <xf numFmtId="0" fontId="3" fillId="0" borderId="9" xfId="0" applyFont="1" applyBorder="1" applyProtection="1">
      <alignment horizontal="left"/>
      <protection hidden="1"/>
    </xf>
    <xf numFmtId="0" fontId="0" fillId="0" borderId="3" xfId="0" applyBorder="1" applyAlignment="1" applyProtection="1">
      <alignment horizontal="center"/>
      <protection hidden="1"/>
    </xf>
    <xf numFmtId="164" fontId="3" fillId="0" borderId="0" xfId="0" applyNumberFormat="1" applyFont="1" applyAlignment="1" applyProtection="1">
      <alignment horizontal="center"/>
      <protection hidden="1"/>
    </xf>
    <xf numFmtId="0" fontId="3" fillId="0" borderId="0" xfId="0" applyFont="1" applyAlignment="1" applyProtection="1">
      <protection hidden="1"/>
    </xf>
    <xf numFmtId="0" fontId="3" fillId="0" borderId="3" xfId="0" applyFont="1" applyBorder="1" applyAlignment="1" applyProtection="1">
      <alignment horizontal="center"/>
      <protection hidden="1"/>
    </xf>
    <xf numFmtId="0" fontId="3" fillId="0" borderId="5" xfId="0" applyFont="1" applyBorder="1" applyAlignment="1" applyProtection="1">
      <alignment horizontal="center"/>
      <protection hidden="1"/>
    </xf>
    <xf numFmtId="0" fontId="54" fillId="8" borderId="0" xfId="0" applyFont="1" applyFill="1" applyProtection="1">
      <alignment horizontal="left"/>
      <protection hidden="1"/>
    </xf>
    <xf numFmtId="0" fontId="3" fillId="0" borderId="0" xfId="0" applyFont="1" applyProtection="1">
      <alignment horizontal="left"/>
      <protection hidden="1"/>
    </xf>
    <xf numFmtId="0" fontId="18" fillId="8" borderId="28" xfId="0" applyFont="1" applyFill="1" applyBorder="1" applyAlignment="1" applyProtection="1">
      <alignment horizontal="left" vertical="top" wrapText="1" indent="2"/>
      <protection hidden="1"/>
    </xf>
    <xf numFmtId="0" fontId="0" fillId="6" borderId="30" xfId="0" applyFill="1" applyBorder="1" applyProtection="1">
      <alignment horizontal="left"/>
      <protection hidden="1"/>
    </xf>
    <xf numFmtId="0" fontId="0" fillId="6" borderId="31" xfId="0" applyFill="1" applyBorder="1" applyProtection="1">
      <alignment horizontal="left"/>
      <protection hidden="1"/>
    </xf>
    <xf numFmtId="0" fontId="0" fillId="6" borderId="32" xfId="0" applyFill="1" applyBorder="1" applyProtection="1">
      <alignment horizontal="left"/>
      <protection hidden="1"/>
    </xf>
    <xf numFmtId="0" fontId="0" fillId="0" borderId="5" xfId="0" applyBorder="1" applyAlignment="1" applyProtection="1">
      <alignment horizontal="center"/>
      <protection hidden="1"/>
    </xf>
    <xf numFmtId="0" fontId="0" fillId="0" borderId="0" xfId="0" applyAlignment="1" applyProtection="1">
      <alignment horizontal="left" indent="2"/>
      <protection hidden="1"/>
    </xf>
    <xf numFmtId="0" fontId="14" fillId="0" borderId="0" xfId="0" applyFont="1" applyAlignment="1" applyProtection="1">
      <alignment horizontal="left" indent="2"/>
      <protection hidden="1"/>
    </xf>
    <xf numFmtId="0" fontId="13" fillId="0" borderId="0" xfId="0" applyFont="1" applyProtection="1">
      <alignment horizontal="left"/>
      <protection hidden="1"/>
    </xf>
    <xf numFmtId="2" fontId="3" fillId="0" borderId="3" xfId="0" applyNumberFormat="1" applyFont="1" applyBorder="1" applyAlignment="1" applyProtection="1">
      <alignment horizontal="center"/>
      <protection hidden="1"/>
    </xf>
    <xf numFmtId="0" fontId="35" fillId="6" borderId="0" xfId="0" applyFont="1" applyFill="1" applyProtection="1">
      <alignment horizontal="left"/>
      <protection hidden="1"/>
    </xf>
    <xf numFmtId="2" fontId="1" fillId="6" borderId="3" xfId="0" applyNumberFormat="1" applyFont="1" applyFill="1" applyBorder="1" applyAlignment="1" applyProtection="1">
      <alignment horizontal="center"/>
      <protection hidden="1"/>
    </xf>
    <xf numFmtId="0" fontId="1" fillId="6" borderId="0" xfId="0" applyFont="1" applyFill="1" applyAlignment="1" applyProtection="1">
      <protection hidden="1"/>
    </xf>
    <xf numFmtId="2" fontId="3" fillId="0" borderId="5" xfId="0" applyNumberFormat="1" applyFont="1" applyBorder="1" applyAlignment="1" applyProtection="1">
      <alignment horizontal="center"/>
      <protection hidden="1"/>
    </xf>
    <xf numFmtId="1" fontId="3" fillId="0" borderId="3" xfId="0" applyNumberFormat="1" applyFont="1" applyBorder="1" applyAlignment="1" applyProtection="1">
      <alignment horizontal="center"/>
      <protection hidden="1"/>
    </xf>
    <xf numFmtId="0" fontId="0" fillId="0" borderId="3" xfId="0" applyBorder="1" applyProtection="1">
      <alignment horizontal="left"/>
      <protection hidden="1"/>
    </xf>
    <xf numFmtId="164" fontId="0" fillId="0" borderId="0" xfId="0" applyNumberFormat="1" applyAlignment="1" applyProtection="1">
      <alignment horizontal="center"/>
      <protection hidden="1"/>
    </xf>
    <xf numFmtId="164" fontId="1" fillId="6" borderId="0" xfId="0" applyNumberFormat="1" applyFont="1" applyFill="1" applyAlignment="1" applyProtection="1">
      <alignment horizontal="center"/>
      <protection hidden="1"/>
    </xf>
    <xf numFmtId="0" fontId="0" fillId="0" borderId="5" xfId="0" applyBorder="1" applyProtection="1">
      <alignment horizontal="left"/>
      <protection hidden="1"/>
    </xf>
    <xf numFmtId="0" fontId="0" fillId="0" borderId="4" xfId="0" applyBorder="1" applyProtection="1">
      <alignment horizontal="left"/>
      <protection hidden="1"/>
    </xf>
    <xf numFmtId="164" fontId="0" fillId="0" borderId="4" xfId="0" applyNumberFormat="1" applyBorder="1" applyAlignment="1" applyProtection="1">
      <alignment horizontal="center"/>
      <protection hidden="1"/>
    </xf>
    <xf numFmtId="0" fontId="1" fillId="0" borderId="0" xfId="0" applyFont="1" applyAlignment="1" applyProtection="1">
      <alignment horizontal="center"/>
      <protection hidden="1"/>
    </xf>
    <xf numFmtId="0" fontId="3" fillId="0" borderId="0" xfId="0" applyFont="1" applyAlignment="1" applyProtection="1">
      <alignment horizontal="center"/>
      <protection hidden="1"/>
    </xf>
    <xf numFmtId="0" fontId="0" fillId="0" borderId="4" xfId="0" applyBorder="1" applyAlignment="1" applyProtection="1">
      <alignment horizontal="center"/>
      <protection hidden="1"/>
    </xf>
    <xf numFmtId="0" fontId="3" fillId="0" borderId="14" xfId="0" applyFont="1" applyBorder="1" applyProtection="1">
      <alignment horizontal="left"/>
      <protection hidden="1"/>
    </xf>
    <xf numFmtId="0" fontId="0" fillId="0" borderId="15" xfId="0" applyBorder="1" applyProtection="1">
      <alignment horizontal="left"/>
      <protection hidden="1"/>
    </xf>
    <xf numFmtId="164" fontId="3" fillId="0" borderId="15" xfId="0" applyNumberFormat="1" applyFont="1" applyBorder="1" applyAlignment="1" applyProtection="1">
      <alignment horizontal="center"/>
      <protection hidden="1"/>
    </xf>
    <xf numFmtId="0" fontId="3" fillId="0" borderId="15" xfId="0" applyFont="1" applyBorder="1" applyProtection="1">
      <alignment horizontal="left"/>
      <protection hidden="1"/>
    </xf>
    <xf numFmtId="2" fontId="0" fillId="0" borderId="3" xfId="0" applyNumberFormat="1" applyBorder="1" applyAlignment="1" applyProtection="1">
      <alignment horizontal="center"/>
      <protection hidden="1"/>
    </xf>
    <xf numFmtId="0" fontId="13" fillId="0" borderId="15" xfId="0" applyFont="1" applyBorder="1" applyProtection="1">
      <alignment horizontal="left"/>
      <protection hidden="1"/>
    </xf>
    <xf numFmtId="1" fontId="3" fillId="0" borderId="5" xfId="0" applyNumberFormat="1" applyFont="1" applyBorder="1" applyAlignment="1" applyProtection="1">
      <alignment horizontal="center"/>
      <protection hidden="1"/>
    </xf>
    <xf numFmtId="0" fontId="30" fillId="7" borderId="0" xfId="0" applyFont="1" applyFill="1" applyAlignment="1" applyProtection="1">
      <alignment horizontal="center"/>
      <protection hidden="1"/>
    </xf>
    <xf numFmtId="0" fontId="1" fillId="6" borderId="0" xfId="0" applyFont="1" applyFill="1" applyAlignment="1" applyProtection="1">
      <alignment horizontal="center" wrapText="1"/>
      <protection hidden="1"/>
    </xf>
    <xf numFmtId="9" fontId="3" fillId="0" borderId="0" xfId="2" applyFont="1" applyAlignment="1" applyProtection="1">
      <alignment horizontal="center"/>
      <protection hidden="1"/>
    </xf>
    <xf numFmtId="0" fontId="39" fillId="2" borderId="0" xfId="0" applyFont="1" applyFill="1" applyProtection="1">
      <alignment horizontal="left"/>
      <protection hidden="1"/>
    </xf>
    <xf numFmtId="0" fontId="25" fillId="2" borderId="0" xfId="0" applyFont="1" applyFill="1" applyAlignment="1" applyProtection="1">
      <protection hidden="1"/>
    </xf>
    <xf numFmtId="0" fontId="4" fillId="6" borderId="0" xfId="0" applyFont="1" applyFill="1" applyProtection="1">
      <alignment horizontal="left"/>
      <protection hidden="1"/>
    </xf>
    <xf numFmtId="0" fontId="0" fillId="6" borderId="0" xfId="0" applyFill="1" applyProtection="1">
      <alignment horizontal="left"/>
      <protection hidden="1"/>
    </xf>
    <xf numFmtId="0" fontId="0" fillId="0" borderId="0" xfId="0" applyAlignment="1" applyProtection="1">
      <alignment horizontal="left" vertical="center"/>
      <protection hidden="1"/>
    </xf>
    <xf numFmtId="0" fontId="50" fillId="0" borderId="0" xfId="0" applyFont="1" applyAlignment="1" applyProtection="1">
      <alignment horizontal="left" vertical="center"/>
      <protection hidden="1"/>
    </xf>
    <xf numFmtId="0" fontId="0" fillId="0" borderId="5" xfId="0" applyBorder="1" applyAlignment="1" applyProtection="1">
      <alignment horizontal="center" vertical="center"/>
      <protection hidden="1"/>
    </xf>
    <xf numFmtId="0" fontId="0" fillId="0" borderId="4" xfId="0" applyBorder="1" applyAlignment="1" applyProtection="1">
      <alignment horizontal="center" vertical="center"/>
      <protection hidden="1"/>
    </xf>
    <xf numFmtId="0" fontId="0" fillId="0" borderId="8" xfId="0" applyBorder="1" applyAlignment="1" applyProtection="1">
      <alignment horizontal="center" vertical="center"/>
      <protection hidden="1"/>
    </xf>
    <xf numFmtId="0" fontId="15" fillId="6" borderId="0" xfId="0" applyFont="1" applyFill="1" applyProtection="1">
      <alignment horizontal="left"/>
      <protection hidden="1"/>
    </xf>
    <xf numFmtId="0" fontId="2" fillId="6" borderId="0" xfId="0" applyFont="1" applyFill="1" applyProtection="1">
      <alignment horizontal="left"/>
      <protection hidden="1"/>
    </xf>
    <xf numFmtId="0" fontId="2" fillId="7" borderId="35" xfId="0" applyFont="1" applyFill="1" applyBorder="1" applyAlignment="1" applyProtection="1">
      <alignment horizontal="center" wrapText="1"/>
      <protection hidden="1"/>
    </xf>
    <xf numFmtId="0" fontId="29" fillId="7" borderId="0" xfId="0" applyFont="1" applyFill="1" applyProtection="1">
      <alignment horizontal="left"/>
      <protection hidden="1"/>
    </xf>
    <xf numFmtId="0" fontId="30" fillId="7" borderId="0" xfId="0" applyFont="1" applyFill="1" applyAlignment="1" applyProtection="1">
      <alignment horizontal="right"/>
      <protection hidden="1"/>
    </xf>
    <xf numFmtId="0" fontId="28" fillId="7" borderId="0" xfId="0" applyFont="1" applyFill="1" applyProtection="1">
      <alignment horizontal="left"/>
      <protection hidden="1"/>
    </xf>
    <xf numFmtId="0" fontId="4" fillId="6" borderId="4" xfId="0" applyFont="1" applyFill="1" applyBorder="1" applyAlignment="1" applyProtection="1">
      <alignment horizontal="center"/>
      <protection hidden="1"/>
    </xf>
    <xf numFmtId="0" fontId="4" fillId="7" borderId="36" xfId="0" applyFont="1" applyFill="1" applyBorder="1" applyAlignment="1" applyProtection="1">
      <alignment horizontal="center" wrapText="1"/>
      <protection hidden="1"/>
    </xf>
    <xf numFmtId="0" fontId="2" fillId="6" borderId="4" xfId="0" applyFont="1" applyFill="1" applyBorder="1" applyProtection="1">
      <alignment horizontal="left"/>
      <protection hidden="1"/>
    </xf>
    <xf numFmtId="0" fontId="2" fillId="7" borderId="4" xfId="0" applyFont="1" applyFill="1" applyBorder="1" applyAlignment="1" applyProtection="1">
      <alignment horizontal="center"/>
      <protection hidden="1"/>
    </xf>
    <xf numFmtId="0" fontId="2" fillId="7" borderId="4" xfId="0" applyFont="1" applyFill="1" applyBorder="1" applyAlignment="1" applyProtection="1">
      <alignment horizontal="center" wrapText="1"/>
      <protection hidden="1"/>
    </xf>
    <xf numFmtId="0" fontId="0" fillId="0" borderId="0" xfId="0" applyAlignment="1" applyProtection="1">
      <alignment horizontal="center" vertical="center"/>
      <protection hidden="1"/>
    </xf>
    <xf numFmtId="0" fontId="0" fillId="0" borderId="2" xfId="0" applyBorder="1" applyAlignment="1" applyProtection="1">
      <alignment vertical="center"/>
      <protection hidden="1"/>
    </xf>
    <xf numFmtId="0" fontId="0" fillId="0" borderId="2" xfId="0"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0" fontId="0" fillId="0" borderId="7" xfId="0" applyBorder="1" applyAlignment="1" applyProtection="1">
      <alignment horizontal="left" vertical="center"/>
      <protection hidden="1"/>
    </xf>
    <xf numFmtId="0" fontId="0" fillId="0" borderId="7" xfId="0" applyBorder="1" applyAlignment="1" applyProtection="1">
      <alignment vertical="center"/>
      <protection hidden="1"/>
    </xf>
    <xf numFmtId="0" fontId="0" fillId="3" borderId="0" xfId="0" applyFill="1" applyAlignment="1" applyProtection="1">
      <alignment horizontal="center" vertical="center"/>
      <protection hidden="1"/>
    </xf>
    <xf numFmtId="0" fontId="0" fillId="3" borderId="0" xfId="0" applyFill="1" applyAlignment="1" applyProtection="1">
      <alignment vertical="center"/>
      <protection hidden="1"/>
    </xf>
    <xf numFmtId="0" fontId="0" fillId="0" borderId="3" xfId="0" applyBorder="1" applyAlignment="1" applyProtection="1">
      <alignment vertical="center"/>
      <protection hidden="1"/>
    </xf>
    <xf numFmtId="0" fontId="0" fillId="0" borderId="3" xfId="0" applyBorder="1" applyAlignment="1" applyProtection="1">
      <alignment horizontal="center" vertical="center"/>
      <protection hidden="1"/>
    </xf>
    <xf numFmtId="164" fontId="0" fillId="0" borderId="0" xfId="0" applyNumberFormat="1" applyAlignment="1" applyProtection="1">
      <alignment horizontal="center" vertical="center"/>
      <protection hidden="1"/>
    </xf>
    <xf numFmtId="0" fontId="0" fillId="0" borderId="6" xfId="0" applyBorder="1" applyAlignment="1" applyProtection="1">
      <alignment horizontal="left" vertical="center"/>
      <protection hidden="1"/>
    </xf>
    <xf numFmtId="0" fontId="0" fillId="0" borderId="6" xfId="0" applyBorder="1" applyAlignment="1" applyProtection="1">
      <alignment vertical="center"/>
      <protection hidden="1"/>
    </xf>
    <xf numFmtId="0" fontId="0" fillId="0" borderId="5" xfId="0" applyBorder="1" applyAlignment="1" applyProtection="1">
      <alignment vertical="center"/>
      <protection hidden="1"/>
    </xf>
    <xf numFmtId="164" fontId="0" fillId="0" borderId="4" xfId="0" applyNumberFormat="1" applyBorder="1" applyAlignment="1" applyProtection="1">
      <alignment horizontal="center" vertical="center"/>
      <protection hidden="1"/>
    </xf>
    <xf numFmtId="0" fontId="0" fillId="0" borderId="8" xfId="0" applyBorder="1" applyAlignment="1" applyProtection="1">
      <alignment horizontal="left" vertical="center"/>
      <protection hidden="1"/>
    </xf>
    <xf numFmtId="0" fontId="0" fillId="0" borderId="8" xfId="0" applyBorder="1" applyAlignment="1" applyProtection="1">
      <alignment vertical="center"/>
      <protection hidden="1"/>
    </xf>
    <xf numFmtId="0" fontId="8" fillId="6" borderId="0" xfId="0" applyFont="1" applyFill="1" applyProtection="1">
      <alignment horizontal="left"/>
      <protection hidden="1"/>
    </xf>
    <xf numFmtId="0" fontId="5" fillId="0" borderId="0" xfId="0" applyFont="1" applyAlignment="1" applyProtection="1">
      <alignment horizontal="left" indent="2"/>
      <protection hidden="1"/>
    </xf>
    <xf numFmtId="0" fontId="8" fillId="0" borderId="0" xfId="0" applyFont="1" applyProtection="1">
      <alignment horizontal="left"/>
      <protection hidden="1"/>
    </xf>
    <xf numFmtId="0" fontId="0" fillId="0" borderId="4" xfId="0" applyBorder="1" applyAlignment="1" applyProtection="1">
      <alignment vertical="center"/>
      <protection hidden="1"/>
    </xf>
    <xf numFmtId="0" fontId="21" fillId="6" borderId="0" xfId="0" applyFont="1" applyFill="1" applyAlignment="1" applyProtection="1">
      <alignment horizontal="center"/>
      <protection hidden="1"/>
    </xf>
    <xf numFmtId="0" fontId="22" fillId="0" borderId="0" xfId="0" applyFont="1" applyAlignment="1" applyProtection="1">
      <alignment horizontal="left" wrapText="1"/>
      <protection hidden="1"/>
    </xf>
    <xf numFmtId="0" fontId="38" fillId="2" borderId="0" xfId="0" applyFont="1" applyFill="1" applyProtection="1">
      <alignment horizontal="left"/>
      <protection hidden="1"/>
    </xf>
    <xf numFmtId="0" fontId="0" fillId="3" borderId="4" xfId="0" applyFill="1" applyBorder="1" applyAlignment="1" applyProtection="1">
      <alignment horizontal="center" vertical="center"/>
      <protection hidden="1"/>
    </xf>
    <xf numFmtId="0" fontId="0" fillId="3" borderId="4" xfId="0" applyFill="1" applyBorder="1" applyAlignment="1" applyProtection="1">
      <alignment vertical="center"/>
      <protection hidden="1"/>
    </xf>
    <xf numFmtId="0" fontId="0" fillId="0" borderId="37" xfId="0" applyBorder="1" applyAlignment="1" applyProtection="1">
      <alignment horizontal="center" vertical="center"/>
      <protection locked="0" hidden="1"/>
    </xf>
    <xf numFmtId="0" fontId="0" fillId="3" borderId="37" xfId="0" applyFill="1" applyBorder="1" applyAlignment="1" applyProtection="1">
      <alignment horizontal="center" vertical="center"/>
      <protection locked="0" hidden="1"/>
    </xf>
    <xf numFmtId="0" fontId="0" fillId="3" borderId="38" xfId="0" applyFill="1" applyBorder="1" applyAlignment="1" applyProtection="1">
      <alignment horizontal="center" vertical="center"/>
      <protection locked="0" hidden="1"/>
    </xf>
    <xf numFmtId="0" fontId="0" fillId="0" borderId="38" xfId="0" applyBorder="1" applyAlignment="1" applyProtection="1">
      <alignment horizontal="center" vertical="center"/>
      <protection locked="0" hidden="1"/>
    </xf>
    <xf numFmtId="0" fontId="0" fillId="0" borderId="0" xfId="0" applyAlignment="1" applyProtection="1">
      <alignment horizontal="left" vertical="center" wrapText="1"/>
      <protection hidden="1"/>
    </xf>
    <xf numFmtId="0" fontId="0" fillId="0" borderId="21" xfId="0" applyBorder="1" applyAlignment="1" applyProtection="1">
      <alignment horizontal="center" vertical="center"/>
      <protection hidden="1"/>
    </xf>
    <xf numFmtId="164" fontId="0" fillId="0" borderId="22" xfId="0" applyNumberForma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0" fontId="0" fillId="0" borderId="23" xfId="0" applyBorder="1" applyAlignment="1" applyProtection="1">
      <alignment vertical="center"/>
      <protection hidden="1"/>
    </xf>
    <xf numFmtId="0" fontId="18" fillId="0" borderId="0" xfId="0" applyFont="1" applyAlignment="1" applyProtection="1">
      <alignment vertical="center"/>
      <protection hidden="1"/>
    </xf>
    <xf numFmtId="0" fontId="18" fillId="0" borderId="0" xfId="0" applyFont="1" applyAlignment="1" applyProtection="1">
      <alignment horizontal="left" indent="2"/>
      <protection hidden="1"/>
    </xf>
    <xf numFmtId="0" fontId="0" fillId="0" borderId="0" xfId="0" applyAlignment="1" applyProtection="1">
      <alignment horizontal="left" wrapText="1"/>
      <protection hidden="1"/>
    </xf>
    <xf numFmtId="0" fontId="10" fillId="0" borderId="0" xfId="0" applyFont="1" applyProtection="1">
      <alignment horizontal="left"/>
      <protection hidden="1"/>
    </xf>
    <xf numFmtId="0" fontId="19" fillId="0" borderId="0" xfId="0" applyFont="1" applyAlignment="1" applyProtection="1">
      <alignment vertical="center"/>
      <protection hidden="1"/>
    </xf>
    <xf numFmtId="0" fontId="0" fillId="3" borderId="0" xfId="0" applyFill="1" applyAlignment="1" applyProtection="1">
      <alignment vertical="center" wrapText="1"/>
      <protection hidden="1"/>
    </xf>
    <xf numFmtId="0" fontId="0" fillId="0" borderId="6" xfId="0" applyBorder="1" applyAlignment="1" applyProtection="1">
      <alignment horizontal="center" vertical="center"/>
      <protection hidden="1"/>
    </xf>
    <xf numFmtId="0" fontId="60" fillId="0" borderId="0" xfId="0" applyFont="1" applyProtection="1">
      <alignment horizontal="left"/>
      <protection hidden="1"/>
    </xf>
    <xf numFmtId="0" fontId="12" fillId="0" borderId="0" xfId="1" applyAlignment="1" applyProtection="1">
      <alignment horizontal="left" wrapText="1"/>
      <protection hidden="1"/>
    </xf>
    <xf numFmtId="0" fontId="22" fillId="0" borderId="0" xfId="0" applyFont="1" applyProtection="1">
      <alignment horizontal="left"/>
      <protection hidden="1"/>
    </xf>
    <xf numFmtId="0" fontId="4" fillId="6" borderId="18" xfId="0" applyFont="1" applyFill="1" applyBorder="1" applyAlignment="1" applyProtection="1">
      <alignment horizontal="center"/>
      <protection hidden="1"/>
    </xf>
    <xf numFmtId="0" fontId="4" fillId="7" borderId="39" xfId="0" applyFont="1" applyFill="1" applyBorder="1" applyAlignment="1" applyProtection="1">
      <alignment horizontal="center" wrapText="1"/>
      <protection hidden="1"/>
    </xf>
    <xf numFmtId="0" fontId="0" fillId="0" borderId="17" xfId="0" applyBorder="1" applyAlignment="1" applyProtection="1">
      <alignment horizontal="center" vertical="center"/>
      <protection hidden="1"/>
    </xf>
    <xf numFmtId="0" fontId="0" fillId="0" borderId="19" xfId="0" applyBorder="1" applyAlignment="1" applyProtection="1">
      <alignment vertical="center"/>
      <protection hidden="1"/>
    </xf>
    <xf numFmtId="0" fontId="0" fillId="0" borderId="7" xfId="0" applyBorder="1" applyAlignment="1" applyProtection="1">
      <alignment horizontal="center" vertical="center"/>
      <protection hidden="1"/>
    </xf>
    <xf numFmtId="0" fontId="0" fillId="3" borderId="16" xfId="0" applyFill="1" applyBorder="1" applyAlignment="1" applyProtection="1">
      <alignment horizontal="center" vertical="center"/>
      <protection hidden="1"/>
    </xf>
    <xf numFmtId="0" fontId="0" fillId="3" borderId="20" xfId="0" applyFill="1" applyBorder="1" applyAlignment="1" applyProtection="1">
      <alignment vertical="center"/>
      <protection hidden="1"/>
    </xf>
    <xf numFmtId="0" fontId="0" fillId="0" borderId="16" xfId="0" applyBorder="1" applyAlignment="1" applyProtection="1">
      <alignment horizontal="center" vertical="center"/>
      <protection hidden="1"/>
    </xf>
    <xf numFmtId="0" fontId="0" fillId="0" borderId="20" xfId="0" applyBorder="1" applyAlignment="1" applyProtection="1">
      <alignment vertical="center"/>
      <protection hidden="1"/>
    </xf>
    <xf numFmtId="0" fontId="0" fillId="0" borderId="4" xfId="0" applyBorder="1" applyAlignment="1" applyProtection="1">
      <alignment vertical="center" wrapText="1"/>
      <protection hidden="1"/>
    </xf>
    <xf numFmtId="0" fontId="12" fillId="0" borderId="0" xfId="1" applyProtection="1">
      <alignment horizontal="left"/>
      <protection hidden="1"/>
    </xf>
    <xf numFmtId="0" fontId="0" fillId="0" borderId="40" xfId="0" applyBorder="1" applyAlignment="1" applyProtection="1">
      <alignment horizontal="center" vertical="center"/>
      <protection locked="0" hidden="1"/>
    </xf>
    <xf numFmtId="0" fontId="0" fillId="3" borderId="41" xfId="0" applyFill="1" applyBorder="1" applyAlignment="1" applyProtection="1">
      <alignment horizontal="center" vertical="center"/>
      <protection locked="0" hidden="1"/>
    </xf>
    <xf numFmtId="0" fontId="0" fillId="0" borderId="41" xfId="0" applyBorder="1" applyAlignment="1" applyProtection="1">
      <alignment horizontal="center" vertical="center"/>
      <protection locked="0" hidden="1"/>
    </xf>
    <xf numFmtId="0" fontId="50" fillId="0" borderId="0" xfId="0" applyFont="1" applyAlignment="1" applyProtection="1">
      <alignment horizontal="left" vertical="center" wrapText="1"/>
      <protection hidden="1"/>
    </xf>
    <xf numFmtId="0" fontId="13" fillId="0" borderId="0" xfId="0" applyFont="1" applyAlignment="1" applyProtection="1">
      <alignment vertical="center"/>
      <protection hidden="1"/>
    </xf>
    <xf numFmtId="0" fontId="0" fillId="0" borderId="23" xfId="0" applyBorder="1" applyAlignment="1" applyProtection="1">
      <alignment horizontal="left" vertical="center"/>
      <protection hidden="1"/>
    </xf>
    <xf numFmtId="0" fontId="0" fillId="0" borderId="0" xfId="0" applyAlignment="1" applyProtection="1">
      <alignment horizontal="center" vertical="center" wrapText="1"/>
      <protection hidden="1"/>
    </xf>
    <xf numFmtId="0" fontId="13" fillId="0" borderId="0" xfId="0" applyFont="1" applyAlignment="1" applyProtection="1">
      <alignment vertical="center" wrapText="1"/>
      <protection hidden="1"/>
    </xf>
    <xf numFmtId="0" fontId="14" fillId="0" borderId="0" xfId="0" applyFont="1" applyAlignment="1" applyProtection="1">
      <alignment vertical="center"/>
      <protection hidden="1"/>
    </xf>
    <xf numFmtId="0" fontId="0" fillId="3" borderId="4" xfId="0" applyFill="1" applyBorder="1" applyAlignment="1" applyProtection="1">
      <alignment vertical="center" wrapText="1"/>
      <protection hidden="1"/>
    </xf>
    <xf numFmtId="0" fontId="0" fillId="0" borderId="37" xfId="0" applyBorder="1" applyAlignment="1" applyProtection="1">
      <alignment horizontal="center" vertical="center" wrapText="1"/>
      <protection locked="0" hidden="1"/>
    </xf>
    <xf numFmtId="0" fontId="2" fillId="0" borderId="0" xfId="0" applyFont="1" applyAlignment="1" applyProtection="1">
      <alignment horizontal="center" wrapText="1"/>
      <protection hidden="1"/>
    </xf>
    <xf numFmtId="0" fontId="4" fillId="6" borderId="0" xfId="0" applyFont="1" applyFill="1" applyAlignment="1" applyProtection="1">
      <alignment horizontal="center"/>
      <protection hidden="1"/>
    </xf>
    <xf numFmtId="0" fontId="4" fillId="7" borderId="37" xfId="0" applyFont="1" applyFill="1" applyBorder="1" applyAlignment="1" applyProtection="1">
      <alignment horizontal="center" wrapText="1"/>
      <protection hidden="1"/>
    </xf>
    <xf numFmtId="0" fontId="4" fillId="0" borderId="0" xfId="0" applyFont="1" applyAlignment="1" applyProtection="1">
      <alignment horizontal="center" wrapText="1"/>
      <protection hidden="1"/>
    </xf>
    <xf numFmtId="2" fontId="0" fillId="0" borderId="2" xfId="0" applyNumberFormat="1" applyBorder="1" applyAlignment="1" applyProtection="1">
      <alignment horizontal="center" vertical="center"/>
      <protection hidden="1"/>
    </xf>
    <xf numFmtId="0" fontId="0" fillId="0" borderId="42" xfId="0" applyBorder="1" applyAlignment="1" applyProtection="1">
      <alignment vertical="center"/>
      <protection hidden="1"/>
    </xf>
    <xf numFmtId="2" fontId="0" fillId="0" borderId="3" xfId="0" applyNumberFormat="1" applyBorder="1" applyAlignment="1" applyProtection="1">
      <alignment horizontal="center" vertical="center"/>
      <protection hidden="1"/>
    </xf>
    <xf numFmtId="0" fontId="0" fillId="0" borderId="43" xfId="0" applyBorder="1" applyAlignment="1" applyProtection="1">
      <alignment vertical="center"/>
      <protection hidden="1"/>
    </xf>
    <xf numFmtId="0" fontId="1" fillId="6" borderId="3" xfId="0" applyFont="1" applyFill="1" applyBorder="1" applyAlignment="1" applyProtection="1">
      <alignment vertical="center"/>
      <protection hidden="1"/>
    </xf>
    <xf numFmtId="0" fontId="0" fillId="6" borderId="3" xfId="0" applyFill="1" applyBorder="1" applyAlignment="1" applyProtection="1">
      <alignment horizontal="center" vertical="center"/>
      <protection hidden="1"/>
    </xf>
    <xf numFmtId="164" fontId="0" fillId="6" borderId="0" xfId="0" applyNumberFormat="1" applyFill="1" applyAlignment="1" applyProtection="1">
      <alignment horizontal="center" vertical="center"/>
      <protection hidden="1"/>
    </xf>
    <xf numFmtId="0" fontId="0" fillId="6" borderId="6" xfId="0" applyFill="1" applyBorder="1" applyAlignment="1" applyProtection="1">
      <alignment horizontal="center" vertical="center"/>
      <protection hidden="1"/>
    </xf>
    <xf numFmtId="0" fontId="0" fillId="6" borderId="6" xfId="0" applyFill="1" applyBorder="1" applyAlignment="1" applyProtection="1">
      <alignment vertical="center"/>
      <protection hidden="1"/>
    </xf>
    <xf numFmtId="0" fontId="1" fillId="6" borderId="6" xfId="0" applyFont="1" applyFill="1" applyBorder="1" applyAlignment="1" applyProtection="1">
      <alignment vertical="center"/>
      <protection hidden="1"/>
    </xf>
    <xf numFmtId="2" fontId="0" fillId="0" borderId="5" xfId="0" applyNumberFormat="1" applyBorder="1" applyAlignment="1" applyProtection="1">
      <alignment horizontal="center" vertical="center"/>
      <protection hidden="1"/>
    </xf>
    <xf numFmtId="0" fontId="0" fillId="0" borderId="44" xfId="0" applyBorder="1" applyAlignment="1" applyProtection="1">
      <alignment vertical="center"/>
      <protection hidden="1"/>
    </xf>
    <xf numFmtId="0" fontId="0" fillId="0" borderId="0" xfId="0" applyAlignment="1" applyProtection="1">
      <alignment horizontal="right"/>
      <protection hidden="1"/>
    </xf>
    <xf numFmtId="2" fontId="0" fillId="0" borderId="0" xfId="0" applyNumberFormat="1" applyProtection="1">
      <alignment horizontal="left"/>
      <protection hidden="1"/>
    </xf>
    <xf numFmtId="0" fontId="19" fillId="9" borderId="18" xfId="0" applyFont="1" applyFill="1" applyBorder="1" applyAlignment="1" applyProtection="1">
      <alignment horizontal="center" vertical="center" wrapText="1"/>
      <protection hidden="1"/>
    </xf>
    <xf numFmtId="0" fontId="61" fillId="9" borderId="18" xfId="0" applyFont="1" applyFill="1" applyBorder="1" applyAlignment="1" applyProtection="1">
      <alignment horizontal="center" vertical="center" wrapText="1"/>
      <protection hidden="1"/>
    </xf>
    <xf numFmtId="0" fontId="19" fillId="9" borderId="51" xfId="0" applyFont="1" applyFill="1" applyBorder="1" applyAlignment="1" applyProtection="1">
      <alignment horizontal="center" vertical="center" wrapText="1"/>
      <protection hidden="1"/>
    </xf>
    <xf numFmtId="0" fontId="0" fillId="0" borderId="1" xfId="0" applyBorder="1" applyProtection="1">
      <alignment horizontal="left"/>
      <protection hidden="1"/>
    </xf>
    <xf numFmtId="0" fontId="0" fillId="0" borderId="0" xfId="0" applyAlignment="1" applyProtection="1">
      <alignment horizontal="center" vertical="top"/>
      <protection hidden="1"/>
    </xf>
    <xf numFmtId="0" fontId="0" fillId="3" borderId="0" xfId="0" applyFill="1" applyAlignment="1" applyProtection="1">
      <alignment horizontal="center" vertical="top"/>
      <protection hidden="1"/>
    </xf>
    <xf numFmtId="0" fontId="47" fillId="0" borderId="0" xfId="0" applyFont="1" applyAlignment="1" applyProtection="1">
      <alignment horizontal="left" wrapText="1"/>
      <protection hidden="1"/>
    </xf>
    <xf numFmtId="0" fontId="3" fillId="0" borderId="0" xfId="0" applyFont="1" applyAlignment="1" applyProtection="1">
      <alignment horizontal="left" wrapText="1"/>
      <protection hidden="1"/>
    </xf>
    <xf numFmtId="0" fontId="32" fillId="2" borderId="0" xfId="0" applyFont="1" applyFill="1" applyAlignment="1" applyProtection="1">
      <alignment horizontal="left" vertical="center"/>
      <protection hidden="1"/>
    </xf>
    <xf numFmtId="0" fontId="53" fillId="2" borderId="0" xfId="0" applyFont="1" applyFill="1" applyAlignment="1" applyProtection="1">
      <protection hidden="1"/>
    </xf>
    <xf numFmtId="0" fontId="9" fillId="0" borderId="0" xfId="0" applyFont="1" applyAlignment="1" applyProtection="1">
      <protection hidden="1"/>
    </xf>
    <xf numFmtId="0" fontId="9" fillId="0" borderId="0" xfId="0" applyFont="1" applyAlignment="1" applyProtection="1">
      <alignment wrapText="1"/>
      <protection hidden="1"/>
    </xf>
    <xf numFmtId="0" fontId="9" fillId="6" borderId="0" xfId="0" applyFont="1" applyFill="1" applyAlignment="1" applyProtection="1">
      <alignment wrapText="1"/>
      <protection hidden="1"/>
    </xf>
    <xf numFmtId="0" fontId="2" fillId="0" borderId="0" xfId="0" applyFont="1" applyAlignment="1" applyProtection="1">
      <alignment horizontal="right"/>
      <protection hidden="1"/>
    </xf>
    <xf numFmtId="0" fontId="31" fillId="0" borderId="0" xfId="1" applyFont="1" applyFill="1" applyProtection="1">
      <alignment horizontal="left"/>
      <protection hidden="1"/>
    </xf>
    <xf numFmtId="0" fontId="2" fillId="6" borderId="4" xfId="0" applyFont="1" applyFill="1" applyBorder="1" applyAlignment="1" applyProtection="1">
      <alignment horizontal="center" wrapText="1"/>
      <protection hidden="1"/>
    </xf>
    <xf numFmtId="0" fontId="2" fillId="7" borderId="36" xfId="0" applyFont="1" applyFill="1" applyBorder="1" applyAlignment="1" applyProtection="1">
      <alignment horizontal="center" wrapText="1"/>
      <protection hidden="1"/>
    </xf>
    <xf numFmtId="0" fontId="2" fillId="6" borderId="4" xfId="0" applyFont="1" applyFill="1" applyBorder="1" applyAlignment="1" applyProtection="1">
      <alignment horizontal="left" wrapText="1"/>
      <protection hidden="1"/>
    </xf>
    <xf numFmtId="0" fontId="50" fillId="0" borderId="0" xfId="0" applyFont="1" applyAlignment="1" applyProtection="1">
      <alignment horizontal="left" wrapText="1"/>
      <protection hidden="1"/>
    </xf>
    <xf numFmtId="0" fontId="8" fillId="6" borderId="0" xfId="0" applyFont="1" applyFill="1" applyAlignment="1" applyProtection="1">
      <alignment vertical="center"/>
      <protection hidden="1"/>
    </xf>
    <xf numFmtId="0" fontId="0" fillId="0" borderId="0" xfId="0" applyAlignment="1" applyProtection="1">
      <protection hidden="1"/>
    </xf>
    <xf numFmtId="0" fontId="6" fillId="0" borderId="0" xfId="0" applyFont="1" applyAlignment="1" applyProtection="1">
      <alignment wrapText="1"/>
      <protection hidden="1"/>
    </xf>
    <xf numFmtId="0" fontId="18" fillId="0" borderId="0" xfId="0" applyFont="1" applyAlignment="1" applyProtection="1">
      <alignment vertical="center" wrapText="1"/>
      <protection hidden="1"/>
    </xf>
    <xf numFmtId="0" fontId="9" fillId="0" borderId="0" xfId="0" applyFont="1" applyProtection="1">
      <alignment horizontal="left"/>
      <protection hidden="1"/>
    </xf>
    <xf numFmtId="0" fontId="7" fillId="6" borderId="0" xfId="0" applyFont="1" applyFill="1" applyAlignment="1" applyProtection="1">
      <alignment vertical="center"/>
      <protection hidden="1"/>
    </xf>
    <xf numFmtId="0" fontId="39" fillId="2" borderId="0" xfId="0" applyFont="1" applyFill="1" applyAlignment="1" applyProtection="1">
      <protection hidden="1"/>
    </xf>
    <xf numFmtId="0" fontId="4" fillId="6" borderId="4" xfId="0" applyFont="1" applyFill="1" applyBorder="1" applyProtection="1">
      <alignment horizontal="left"/>
      <protection hidden="1"/>
    </xf>
    <xf numFmtId="0" fontId="0" fillId="0" borderId="0" xfId="0" applyAlignment="1" applyProtection="1">
      <alignment horizontal="left" wrapText="1" indent="2"/>
      <protection hidden="1"/>
    </xf>
    <xf numFmtId="0" fontId="49" fillId="6" borderId="0" xfId="0" applyFont="1" applyFill="1" applyProtection="1">
      <alignment horizontal="left"/>
      <protection hidden="1"/>
    </xf>
    <xf numFmtId="0" fontId="18" fillId="0" borderId="54" xfId="0" applyFont="1" applyBorder="1" applyProtection="1">
      <alignment horizontal="left"/>
      <protection hidden="1"/>
    </xf>
    <xf numFmtId="0" fontId="18" fillId="0" borderId="55" xfId="0" applyFont="1" applyBorder="1" applyProtection="1">
      <alignment horizontal="left"/>
      <protection hidden="1"/>
    </xf>
    <xf numFmtId="0" fontId="18" fillId="0" borderId="56" xfId="0" applyFont="1" applyBorder="1" applyAlignment="1" applyProtection="1">
      <alignment vertical="center"/>
      <protection hidden="1"/>
    </xf>
    <xf numFmtId="0" fontId="18" fillId="0" borderId="0" xfId="0" applyFont="1" applyProtection="1">
      <alignment horizontal="left"/>
      <protection hidden="1"/>
    </xf>
    <xf numFmtId="0" fontId="13" fillId="2" borderId="0" xfId="0" applyFont="1" applyFill="1" applyProtection="1">
      <alignment horizontal="left"/>
      <protection hidden="1"/>
    </xf>
    <xf numFmtId="0" fontId="13" fillId="0" borderId="0" xfId="0" applyFont="1" applyAlignment="1" applyProtection="1">
      <alignment horizontal="left" vertical="center"/>
      <protection hidden="1"/>
    </xf>
    <xf numFmtId="0" fontId="17" fillId="0" borderId="0" xfId="0" applyFont="1" applyAlignment="1" applyProtection="1">
      <alignment horizontal="center" wrapText="1"/>
      <protection hidden="1"/>
    </xf>
    <xf numFmtId="0" fontId="1" fillId="9" borderId="50" xfId="0" applyFont="1" applyFill="1" applyBorder="1" applyAlignment="1" applyProtection="1">
      <alignment horizontal="center" vertical="center"/>
      <protection hidden="1"/>
    </xf>
    <xf numFmtId="0" fontId="1" fillId="9" borderId="50" xfId="0" applyFont="1" applyFill="1" applyBorder="1" applyAlignment="1" applyProtection="1">
      <alignment vertical="center"/>
      <protection hidden="1"/>
    </xf>
    <xf numFmtId="0" fontId="1" fillId="9" borderId="53" xfId="0" applyFont="1" applyFill="1" applyBorder="1" applyAlignment="1" applyProtection="1">
      <alignment vertical="center"/>
      <protection hidden="1"/>
    </xf>
    <xf numFmtId="0" fontId="18" fillId="0" borderId="7" xfId="0" applyFont="1" applyBorder="1" applyAlignment="1" applyProtection="1">
      <alignment vertical="center"/>
      <protection hidden="1"/>
    </xf>
    <xf numFmtId="0" fontId="18" fillId="0" borderId="6" xfId="0" applyFont="1" applyBorder="1" applyAlignment="1" applyProtection="1">
      <alignment vertical="center"/>
      <protection hidden="1"/>
    </xf>
    <xf numFmtId="0" fontId="0" fillId="6" borderId="43" xfId="0" applyFill="1" applyBorder="1" applyAlignment="1" applyProtection="1">
      <alignment vertical="center"/>
      <protection hidden="1"/>
    </xf>
    <xf numFmtId="0" fontId="44" fillId="0" borderId="0" xfId="0" applyFont="1" applyAlignment="1" applyProtection="1">
      <alignment horizontal="left" wrapText="1"/>
      <protection hidden="1"/>
    </xf>
    <xf numFmtId="0" fontId="18" fillId="0" borderId="0" xfId="0" applyFont="1" applyAlignment="1" applyProtection="1">
      <alignment horizontal="left" wrapText="1"/>
      <protection hidden="1"/>
    </xf>
    <xf numFmtId="1" fontId="0" fillId="0" borderId="2" xfId="0" applyNumberFormat="1" applyBorder="1" applyAlignment="1" applyProtection="1">
      <alignment horizontal="center" vertical="center"/>
      <protection hidden="1"/>
    </xf>
    <xf numFmtId="1" fontId="0" fillId="0" borderId="3" xfId="0" applyNumberFormat="1" applyBorder="1" applyAlignment="1" applyProtection="1">
      <alignment horizontal="center" vertical="center"/>
      <protection hidden="1"/>
    </xf>
    <xf numFmtId="1" fontId="0" fillId="6" borderId="3" xfId="0" applyNumberFormat="1" applyFill="1" applyBorder="1" applyAlignment="1" applyProtection="1">
      <alignment horizontal="center" vertical="center"/>
      <protection hidden="1"/>
    </xf>
    <xf numFmtId="1" fontId="0" fillId="0" borderId="5" xfId="0" applyNumberFormat="1" applyBorder="1" applyAlignment="1" applyProtection="1">
      <alignment horizontal="center" vertical="center"/>
      <protection hidden="1"/>
    </xf>
    <xf numFmtId="2" fontId="0" fillId="6" borderId="3" xfId="0" applyNumberFormat="1" applyFill="1" applyBorder="1" applyAlignment="1" applyProtection="1">
      <alignment horizontal="center" vertical="center"/>
      <protection hidden="1"/>
    </xf>
    <xf numFmtId="9" fontId="0" fillId="0" borderId="1" xfId="2" applyFont="1" applyBorder="1" applyAlignment="1" applyProtection="1">
      <alignment horizontal="center" vertical="center"/>
      <protection hidden="1"/>
    </xf>
    <xf numFmtId="0" fontId="0" fillId="3" borderId="0" xfId="0" applyFill="1" applyAlignment="1" applyProtection="1">
      <alignment horizontal="center" vertical="center" wrapText="1"/>
      <protection hidden="1"/>
    </xf>
    <xf numFmtId="9" fontId="0" fillId="0" borderId="0" xfId="2" applyFont="1" applyAlignment="1" applyProtection="1">
      <alignment horizontal="center" vertical="center"/>
      <protection hidden="1"/>
    </xf>
    <xf numFmtId="9" fontId="0" fillId="0" borderId="4" xfId="2" applyFont="1" applyBorder="1" applyAlignment="1" applyProtection="1">
      <alignment horizontal="center" vertical="center"/>
      <protection hidden="1"/>
    </xf>
    <xf numFmtId="0" fontId="0" fillId="3" borderId="4" xfId="0" applyFill="1" applyBorder="1" applyAlignment="1" applyProtection="1">
      <alignment horizontal="center" vertical="center" wrapText="1"/>
      <protection hidden="1"/>
    </xf>
    <xf numFmtId="0" fontId="40" fillId="2" borderId="0" xfId="0" applyFont="1" applyFill="1" applyAlignment="1" applyProtection="1">
      <protection hidden="1"/>
    </xf>
    <xf numFmtId="0" fontId="41" fillId="2" borderId="0" xfId="0" applyFont="1" applyFill="1" applyProtection="1">
      <alignment horizontal="left"/>
      <protection hidden="1"/>
    </xf>
    <xf numFmtId="0" fontId="42" fillId="2" borderId="0" xfId="0" applyFont="1" applyFill="1" applyProtection="1">
      <alignment horizontal="left"/>
      <protection hidden="1"/>
    </xf>
    <xf numFmtId="0" fontId="0" fillId="0" borderId="21" xfId="0" applyBorder="1" applyAlignment="1" applyProtection="1">
      <protection hidden="1"/>
    </xf>
    <xf numFmtId="0" fontId="1" fillId="0" borderId="22" xfId="0" applyFont="1" applyBorder="1" applyAlignment="1" applyProtection="1">
      <protection hidden="1"/>
    </xf>
    <xf numFmtId="0" fontId="0" fillId="0" borderId="0" xfId="0" applyAlignment="1" applyProtection="1">
      <alignment horizontal="left" vertical="top"/>
      <protection hidden="1"/>
    </xf>
    <xf numFmtId="0" fontId="50" fillId="0" borderId="0" xfId="0" applyFont="1" applyAlignment="1" applyProtection="1">
      <alignment horizontal="left" vertical="top"/>
      <protection hidden="1"/>
    </xf>
    <xf numFmtId="0" fontId="1" fillId="0" borderId="22" xfId="0" applyFont="1" applyBorder="1" applyAlignment="1" applyProtection="1">
      <alignment wrapText="1"/>
      <protection hidden="1"/>
    </xf>
    <xf numFmtId="0" fontId="18" fillId="0" borderId="21" xfId="0" applyFont="1" applyBorder="1" applyAlignment="1" applyProtection="1">
      <protection hidden="1"/>
    </xf>
    <xf numFmtId="0" fontId="24" fillId="0" borderId="22" xfId="0" applyFont="1" applyBorder="1" applyAlignment="1" applyProtection="1">
      <alignment wrapText="1"/>
      <protection hidden="1"/>
    </xf>
    <xf numFmtId="0" fontId="28" fillId="0" borderId="0" xfId="0" applyFont="1" applyProtection="1">
      <alignment horizontal="left"/>
      <protection hidden="1"/>
    </xf>
    <xf numFmtId="0" fontId="1" fillId="6" borderId="2" xfId="0" applyFont="1" applyFill="1" applyBorder="1" applyAlignment="1" applyProtection="1">
      <alignment horizontal="center"/>
      <protection hidden="1"/>
    </xf>
    <xf numFmtId="0" fontId="1" fillId="6" borderId="6" xfId="0" applyFont="1" applyFill="1" applyBorder="1" applyAlignment="1" applyProtection="1">
      <alignment horizontal="center"/>
      <protection hidden="1"/>
    </xf>
    <xf numFmtId="0" fontId="0" fillId="0" borderId="0" xfId="0" applyAlignment="1" applyProtection="1">
      <alignment horizontal="center"/>
      <protection hidden="1"/>
    </xf>
    <xf numFmtId="0" fontId="0" fillId="0" borderId="6" xfId="0" applyBorder="1" applyAlignment="1" applyProtection="1">
      <alignment horizontal="center"/>
      <protection hidden="1"/>
    </xf>
    <xf numFmtId="49" fontId="0" fillId="0" borderId="0" xfId="0" applyNumberFormat="1" applyAlignment="1" applyProtection="1">
      <alignment horizontal="center"/>
      <protection hidden="1"/>
    </xf>
    <xf numFmtId="0" fontId="5" fillId="8" borderId="11" xfId="0" applyFont="1" applyFill="1" applyBorder="1" applyAlignment="1" applyProtection="1">
      <alignment horizontal="center"/>
      <protection hidden="1"/>
    </xf>
    <xf numFmtId="0" fontId="3" fillId="0" borderId="9" xfId="0" applyFont="1" applyBorder="1" applyAlignment="1" applyProtection="1">
      <alignment horizontal="center"/>
      <protection hidden="1"/>
    </xf>
    <xf numFmtId="0" fontId="0" fillId="0" borderId="10" xfId="0" applyBorder="1" applyAlignment="1" applyProtection="1">
      <alignment horizontal="center"/>
      <protection hidden="1"/>
    </xf>
    <xf numFmtId="17" fontId="0" fillId="0" borderId="0" xfId="0" applyNumberFormat="1" applyAlignment="1" applyProtection="1">
      <alignment horizontal="center"/>
      <protection hidden="1"/>
    </xf>
    <xf numFmtId="0" fontId="18" fillId="0" borderId="9" xfId="0" applyFont="1" applyBorder="1" applyProtection="1">
      <alignment horizontal="left"/>
      <protection hidden="1"/>
    </xf>
    <xf numFmtId="0" fontId="18" fillId="0" borderId="9" xfId="0" applyFont="1" applyBorder="1" applyAlignment="1" applyProtection="1">
      <alignment horizontal="center"/>
      <protection hidden="1"/>
    </xf>
    <xf numFmtId="0" fontId="18" fillId="0" borderId="0" xfId="0" applyFont="1" applyAlignment="1" applyProtection="1">
      <alignment horizontal="center"/>
      <protection hidden="1"/>
    </xf>
    <xf numFmtId="49" fontId="18" fillId="0" borderId="0" xfId="0" applyNumberFormat="1" applyFont="1" applyAlignment="1" applyProtection="1">
      <alignment horizontal="center"/>
      <protection hidden="1"/>
    </xf>
    <xf numFmtId="0" fontId="18" fillId="0" borderId="10" xfId="0" applyFont="1" applyBorder="1" applyAlignment="1" applyProtection="1">
      <alignment horizontal="center"/>
      <protection hidden="1"/>
    </xf>
    <xf numFmtId="0" fontId="63" fillId="2" borderId="0" xfId="0" applyFont="1" applyFill="1" applyAlignment="1" applyProtection="1">
      <alignment horizontal="center"/>
      <protection hidden="1"/>
    </xf>
    <xf numFmtId="0" fontId="13" fillId="2" borderId="0" xfId="0" applyFont="1" applyFill="1" applyAlignment="1" applyProtection="1">
      <alignment horizontal="center"/>
      <protection hidden="1"/>
    </xf>
    <xf numFmtId="0" fontId="64" fillId="2" borderId="0" xfId="1" applyFont="1" applyFill="1" applyAlignment="1" applyProtection="1">
      <protection hidden="1"/>
    </xf>
    <xf numFmtId="0" fontId="65" fillId="2" borderId="0" xfId="0" applyFont="1" applyFill="1" applyProtection="1">
      <alignment horizontal="left"/>
      <protection hidden="1"/>
    </xf>
    <xf numFmtId="0" fontId="66" fillId="2" borderId="0" xfId="0" applyFont="1" applyFill="1" applyAlignment="1" applyProtection="1">
      <alignment horizontal="center"/>
      <protection hidden="1"/>
    </xf>
    <xf numFmtId="0" fontId="0" fillId="0" borderId="34" xfId="0" applyBorder="1" applyAlignment="1" applyProtection="1">
      <alignment horizontal="left" vertical="center"/>
      <protection locked="0" hidden="1"/>
    </xf>
    <xf numFmtId="0" fontId="0" fillId="4" borderId="34" xfId="0" applyFill="1" applyBorder="1" applyAlignment="1" applyProtection="1">
      <alignment horizontal="left" vertical="center"/>
      <protection locked="0" hidden="1"/>
    </xf>
    <xf numFmtId="0" fontId="0" fillId="4" borderId="34" xfId="0" applyFill="1" applyBorder="1" applyAlignment="1" applyProtection="1">
      <alignment horizontal="left" vertical="center" wrapText="1"/>
      <protection locked="0" hidden="1"/>
    </xf>
    <xf numFmtId="165" fontId="0" fillId="0" borderId="34" xfId="0" applyNumberFormat="1" applyBorder="1" applyAlignment="1" applyProtection="1">
      <alignment horizontal="left" vertical="center" wrapText="1"/>
      <protection locked="0" hidden="1"/>
    </xf>
    <xf numFmtId="165" fontId="0" fillId="4" borderId="34" xfId="0" applyNumberFormat="1" applyFill="1" applyBorder="1" applyAlignment="1" applyProtection="1">
      <alignment horizontal="left" vertical="center" wrapText="1"/>
      <protection locked="0" hidden="1"/>
    </xf>
    <xf numFmtId="2" fontId="0" fillId="0" borderId="34" xfId="0" applyNumberFormat="1" applyBorder="1" applyAlignment="1" applyProtection="1">
      <alignment horizontal="left" vertical="center" wrapText="1"/>
      <protection locked="0" hidden="1"/>
    </xf>
    <xf numFmtId="165" fontId="0" fillId="0" borderId="47" xfId="0" applyNumberFormat="1" applyBorder="1" applyAlignment="1" applyProtection="1">
      <alignment horizontal="left" vertical="center" wrapText="1"/>
      <protection locked="0" hidden="1"/>
    </xf>
    <xf numFmtId="0" fontId="0" fillId="4" borderId="48" xfId="0" applyFill="1" applyBorder="1" applyProtection="1">
      <alignment horizontal="left"/>
      <protection locked="0" hidden="1"/>
    </xf>
    <xf numFmtId="0" fontId="0" fillId="0" borderId="46" xfId="0" applyBorder="1" applyAlignment="1" applyProtection="1">
      <alignment horizontal="left" vertical="top" wrapText="1"/>
      <protection locked="0" hidden="1"/>
    </xf>
    <xf numFmtId="0" fontId="0" fillId="6" borderId="28" xfId="0" applyFill="1" applyBorder="1" applyAlignment="1" applyProtection="1">
      <alignment horizontal="left" wrapText="1"/>
      <protection hidden="1"/>
    </xf>
    <xf numFmtId="0" fontId="0" fillId="6" borderId="0" xfId="0" applyFill="1" applyAlignment="1" applyProtection="1">
      <alignment horizontal="left" wrapText="1"/>
      <protection hidden="1"/>
    </xf>
    <xf numFmtId="0" fontId="0" fillId="6" borderId="29" xfId="0" applyFill="1" applyBorder="1" applyAlignment="1" applyProtection="1">
      <alignment horizontal="left" wrapText="1"/>
      <protection hidden="1"/>
    </xf>
    <xf numFmtId="0" fontId="18" fillId="6" borderId="30" xfId="0" applyFont="1" applyFill="1" applyBorder="1" applyAlignment="1" applyProtection="1">
      <alignment vertical="center" wrapText="1"/>
      <protection hidden="1"/>
    </xf>
    <xf numFmtId="0" fontId="0" fillId="0" borderId="31" xfId="0" applyBorder="1" applyAlignment="1" applyProtection="1">
      <alignment vertical="center" wrapText="1"/>
      <protection hidden="1"/>
    </xf>
    <xf numFmtId="0" fontId="0" fillId="0" borderId="32" xfId="0" applyBorder="1" applyAlignment="1" applyProtection="1">
      <alignment vertical="center" wrapText="1"/>
      <protection hidden="1"/>
    </xf>
    <xf numFmtId="0" fontId="2" fillId="6" borderId="25" xfId="0" applyFont="1" applyFill="1" applyBorder="1" applyAlignment="1" applyProtection="1">
      <alignment horizontal="left" wrapText="1"/>
      <protection hidden="1"/>
    </xf>
    <xf numFmtId="0" fontId="2" fillId="6" borderId="26" xfId="0" applyFont="1" applyFill="1" applyBorder="1" applyAlignment="1" applyProtection="1">
      <alignment horizontal="left" wrapText="1"/>
      <protection hidden="1"/>
    </xf>
    <xf numFmtId="0" fontId="1" fillId="6" borderId="1" xfId="0" applyFont="1" applyFill="1" applyBorder="1" applyAlignment="1" applyProtection="1">
      <alignment horizontal="center" vertical="center" wrapText="1"/>
      <protection hidden="1"/>
    </xf>
    <xf numFmtId="0" fontId="19" fillId="6" borderId="1" xfId="0" applyFont="1" applyFill="1" applyBorder="1" applyAlignment="1" applyProtection="1">
      <alignment horizontal="center" vertical="center" wrapText="1"/>
      <protection hidden="1"/>
    </xf>
    <xf numFmtId="0" fontId="24" fillId="6" borderId="1" xfId="0" applyFont="1" applyFill="1" applyBorder="1" applyAlignment="1" applyProtection="1">
      <alignment horizontal="center" vertical="center" wrapText="1"/>
      <protection hidden="1"/>
    </xf>
    <xf numFmtId="0" fontId="1" fillId="6" borderId="1" xfId="0" applyFont="1" applyFill="1" applyBorder="1" applyAlignment="1" applyProtection="1">
      <alignment horizontal="center" vertical="center"/>
      <protection hidden="1"/>
    </xf>
    <xf numFmtId="0" fontId="0" fillId="0" borderId="3" xfId="0" applyBorder="1" applyAlignment="1" applyProtection="1">
      <alignment horizontal="left" vertical="top" wrapText="1"/>
      <protection hidden="1"/>
    </xf>
    <xf numFmtId="0" fontId="0" fillId="0" borderId="0" xfId="0" applyAlignment="1" applyProtection="1">
      <alignment horizontal="left" vertical="top" wrapText="1"/>
      <protection hidden="1"/>
    </xf>
    <xf numFmtId="0" fontId="0" fillId="0" borderId="6" xfId="0" applyBorder="1" applyAlignment="1" applyProtection="1">
      <alignment horizontal="left" vertical="top" wrapText="1"/>
      <protection hidden="1"/>
    </xf>
    <xf numFmtId="0" fontId="0" fillId="0" borderId="5" xfId="0" applyBorder="1" applyAlignment="1" applyProtection="1">
      <alignment horizontal="center" vertical="center"/>
      <protection hidden="1"/>
    </xf>
    <xf numFmtId="0" fontId="0" fillId="0" borderId="4" xfId="0" applyBorder="1" applyAlignment="1" applyProtection="1">
      <alignment horizontal="center" vertical="center"/>
      <protection hidden="1"/>
    </xf>
    <xf numFmtId="0" fontId="0" fillId="0" borderId="8" xfId="0" applyBorder="1" applyAlignment="1" applyProtection="1">
      <alignment horizontal="center" vertical="center"/>
      <protection hidden="1"/>
    </xf>
    <xf numFmtId="0" fontId="0" fillId="0" borderId="3" xfId="0" applyBorder="1" applyAlignment="1" applyProtection="1">
      <alignment horizontal="left" vertical="center" wrapText="1"/>
      <protection hidden="1"/>
    </xf>
    <xf numFmtId="0" fontId="0" fillId="0" borderId="0" xfId="0" applyAlignment="1" applyProtection="1">
      <alignment horizontal="left" vertical="center" wrapText="1"/>
      <protection hidden="1"/>
    </xf>
    <xf numFmtId="0" fontId="0" fillId="0" borderId="6" xfId="0" applyBorder="1" applyAlignment="1" applyProtection="1">
      <alignment horizontal="left" vertical="center" wrapText="1"/>
      <protection hidden="1"/>
    </xf>
    <xf numFmtId="0" fontId="0" fillId="0" borderId="3" xfId="0" applyBorder="1" applyAlignment="1" applyProtection="1">
      <alignment horizontal="center" vertical="center"/>
      <protection hidden="1"/>
    </xf>
    <xf numFmtId="0" fontId="0" fillId="0" borderId="0" xfId="0" applyAlignment="1" applyProtection="1">
      <alignment horizontal="center" vertical="center"/>
      <protection hidden="1"/>
    </xf>
    <xf numFmtId="0" fontId="0" fillId="0" borderId="6" xfId="0" applyBorder="1" applyAlignment="1" applyProtection="1">
      <alignment horizontal="center" vertical="center"/>
      <protection hidden="1"/>
    </xf>
    <xf numFmtId="0" fontId="18" fillId="0" borderId="3" xfId="0" applyFont="1" applyBorder="1" applyAlignment="1" applyProtection="1">
      <alignment horizontal="left" vertical="center" wrapText="1"/>
      <protection hidden="1"/>
    </xf>
    <xf numFmtId="0" fontId="18" fillId="0" borderId="0" xfId="0" applyFont="1" applyAlignment="1" applyProtection="1">
      <alignment horizontal="left" vertical="center" wrapText="1"/>
      <protection hidden="1"/>
    </xf>
    <xf numFmtId="0" fontId="18" fillId="0" borderId="6" xfId="0" applyFont="1" applyBorder="1" applyAlignment="1" applyProtection="1">
      <alignment horizontal="left" vertical="center" wrapText="1"/>
      <protection hidden="1"/>
    </xf>
    <xf numFmtId="0" fontId="18" fillId="0" borderId="5" xfId="0" applyFont="1" applyBorder="1" applyAlignment="1" applyProtection="1">
      <alignment horizontal="center" vertical="center"/>
      <protection hidden="1"/>
    </xf>
    <xf numFmtId="0" fontId="18" fillId="0" borderId="4" xfId="0" applyFont="1" applyBorder="1" applyAlignment="1" applyProtection="1">
      <alignment horizontal="center" vertical="center"/>
      <protection hidden="1"/>
    </xf>
    <xf numFmtId="0" fontId="18" fillId="0" borderId="8" xfId="0" applyFont="1" applyBorder="1" applyAlignment="1" applyProtection="1">
      <alignment horizontal="center" vertical="center"/>
      <protection hidden="1"/>
    </xf>
    <xf numFmtId="0" fontId="19" fillId="9" borderId="49" xfId="0" applyFont="1" applyFill="1" applyBorder="1" applyAlignment="1" applyProtection="1">
      <alignment horizontal="center" vertical="center" wrapText="1"/>
      <protection hidden="1"/>
    </xf>
    <xf numFmtId="0" fontId="19" fillId="9" borderId="52" xfId="0" applyFont="1" applyFill="1" applyBorder="1" applyAlignment="1" applyProtection="1">
      <alignment horizontal="center" vertical="center" wrapText="1"/>
      <protection hidden="1"/>
    </xf>
    <xf numFmtId="0" fontId="18" fillId="9" borderId="18" xfId="0" applyFont="1" applyFill="1" applyBorder="1" applyAlignment="1" applyProtection="1">
      <alignment horizontal="center" vertical="center" wrapText="1"/>
      <protection hidden="1"/>
    </xf>
    <xf numFmtId="0" fontId="18" fillId="9" borderId="51" xfId="0" applyFont="1" applyFill="1" applyBorder="1" applyAlignment="1" applyProtection="1">
      <alignment horizontal="center" vertical="center" wrapText="1"/>
      <protection hidden="1"/>
    </xf>
    <xf numFmtId="0" fontId="18" fillId="0" borderId="3" xfId="0" applyFont="1" applyBorder="1" applyAlignment="1" applyProtection="1">
      <alignment horizontal="left" vertical="top" wrapText="1"/>
      <protection hidden="1"/>
    </xf>
    <xf numFmtId="0" fontId="18" fillId="0" borderId="0" xfId="0" applyFont="1" applyAlignment="1" applyProtection="1">
      <alignment horizontal="left" vertical="top" wrapText="1"/>
      <protection hidden="1"/>
    </xf>
    <xf numFmtId="0" fontId="18" fillId="0" borderId="6" xfId="0" applyFont="1" applyBorder="1" applyAlignment="1" applyProtection="1">
      <alignment horizontal="left" vertical="top" wrapText="1"/>
      <protection hidden="1"/>
    </xf>
    <xf numFmtId="0" fontId="1" fillId="9" borderId="49" xfId="0" applyFont="1" applyFill="1" applyBorder="1" applyAlignment="1" applyProtection="1">
      <alignment horizontal="center" vertical="center" wrapText="1"/>
      <protection hidden="1"/>
    </xf>
    <xf numFmtId="0" fontId="1" fillId="9" borderId="52" xfId="0" applyFont="1" applyFill="1" applyBorder="1" applyAlignment="1" applyProtection="1">
      <alignment horizontal="center" vertical="center" wrapText="1"/>
      <protection hidden="1"/>
    </xf>
    <xf numFmtId="0" fontId="0" fillId="0" borderId="3" xfId="0" applyBorder="1" applyAlignment="1" applyProtection="1">
      <alignment horizontal="left" vertical="top" wrapText="1" shrinkToFit="1"/>
      <protection hidden="1"/>
    </xf>
    <xf numFmtId="0" fontId="0" fillId="0" borderId="0" xfId="0" applyAlignment="1" applyProtection="1">
      <alignment horizontal="left" vertical="top" wrapText="1" shrinkToFit="1"/>
      <protection hidden="1"/>
    </xf>
    <xf numFmtId="0" fontId="0" fillId="0" borderId="6" xfId="0" applyBorder="1" applyAlignment="1" applyProtection="1">
      <alignment horizontal="left" vertical="top" wrapText="1" shrinkToFit="1"/>
      <protection hidden="1"/>
    </xf>
    <xf numFmtId="0" fontId="0" fillId="0" borderId="3" xfId="0" applyBorder="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0" fillId="0" borderId="6" xfId="0" applyBorder="1" applyAlignment="1" applyProtection="1">
      <alignment horizontal="center" vertical="center" wrapText="1"/>
      <protection hidden="1"/>
    </xf>
    <xf numFmtId="0" fontId="0" fillId="0" borderId="5" xfId="0" applyBorder="1" applyAlignment="1" applyProtection="1">
      <alignment horizontal="center" vertical="center" wrapText="1"/>
      <protection hidden="1"/>
    </xf>
    <xf numFmtId="0" fontId="0" fillId="0" borderId="4" xfId="0" applyBorder="1" applyAlignment="1" applyProtection="1">
      <alignment horizontal="center" vertical="center" wrapText="1"/>
      <protection hidden="1"/>
    </xf>
    <xf numFmtId="0" fontId="0" fillId="0" borderId="8" xfId="0" applyBorder="1" applyAlignment="1" applyProtection="1">
      <alignment horizontal="center" vertical="center" wrapText="1"/>
      <protection hidden="1"/>
    </xf>
    <xf numFmtId="0" fontId="0" fillId="6" borderId="2" xfId="0" applyFill="1" applyBorder="1" applyAlignment="1" applyProtection="1">
      <alignment horizontal="left" vertical="top" wrapText="1"/>
      <protection hidden="1"/>
    </xf>
    <xf numFmtId="0" fontId="0" fillId="6" borderId="1" xfId="0" applyFill="1" applyBorder="1" applyAlignment="1" applyProtection="1">
      <alignment horizontal="left" vertical="top" wrapText="1"/>
      <protection hidden="1"/>
    </xf>
    <xf numFmtId="0" fontId="18" fillId="6" borderId="2" xfId="1" applyFont="1" applyFill="1" applyBorder="1" applyAlignment="1" applyProtection="1">
      <alignment horizontal="left" vertical="top" wrapText="1"/>
      <protection hidden="1"/>
    </xf>
    <xf numFmtId="0" fontId="18" fillId="6" borderId="1" xfId="1" applyFont="1" applyFill="1" applyBorder="1" applyAlignment="1" applyProtection="1">
      <alignment horizontal="left" vertical="top" wrapText="1"/>
      <protection hidden="1"/>
    </xf>
    <xf numFmtId="0" fontId="5" fillId="8" borderId="11" xfId="0" applyFont="1" applyFill="1" applyBorder="1" applyAlignment="1" applyProtection="1">
      <alignment horizontal="center"/>
      <protection hidden="1"/>
    </xf>
    <xf numFmtId="0" fontId="5" fillId="8" borderId="12" xfId="0" applyFont="1" applyFill="1" applyBorder="1" applyAlignment="1" applyProtection="1">
      <alignment horizontal="center"/>
      <protection hidden="1"/>
    </xf>
    <xf numFmtId="0" fontId="5" fillId="8" borderId="13" xfId="0" applyFont="1" applyFill="1" applyBorder="1" applyAlignment="1" applyProtection="1">
      <alignment horizontal="center"/>
      <protection hidden="1"/>
    </xf>
    <xf numFmtId="0" fontId="0" fillId="6" borderId="3" xfId="0" applyFill="1" applyBorder="1" applyAlignment="1" applyProtection="1">
      <alignment horizontal="left" vertical="top" wrapText="1"/>
      <protection hidden="1"/>
    </xf>
    <xf numFmtId="0" fontId="0" fillId="6" borderId="0" xfId="0" applyFill="1" applyAlignment="1" applyProtection="1">
      <alignment horizontal="left" vertical="top" wrapText="1"/>
      <protection hidden="1"/>
    </xf>
    <xf numFmtId="0" fontId="12" fillId="6" borderId="2" xfId="1" applyFill="1" applyBorder="1" applyAlignment="1" applyProtection="1">
      <alignment horizontal="left" vertical="top" wrapText="1"/>
      <protection hidden="1"/>
    </xf>
    <xf numFmtId="0" fontId="12" fillId="6" borderId="1" xfId="1" applyFill="1" applyBorder="1" applyAlignment="1" applyProtection="1">
      <alignment horizontal="left" vertical="top" wrapText="1"/>
      <protection hidden="1"/>
    </xf>
    <xf numFmtId="0" fontId="1" fillId="6" borderId="2" xfId="0" applyFont="1" applyFill="1" applyBorder="1" applyAlignment="1" applyProtection="1">
      <alignment horizontal="center"/>
      <protection hidden="1"/>
    </xf>
    <xf numFmtId="0" fontId="1" fillId="6" borderId="1" xfId="0" applyFont="1" applyFill="1" applyBorder="1" applyAlignment="1" applyProtection="1">
      <alignment horizontal="center"/>
      <protection hidden="1"/>
    </xf>
    <xf numFmtId="0" fontId="1" fillId="6" borderId="7" xfId="0" applyFont="1" applyFill="1" applyBorder="1" applyAlignment="1" applyProtection="1">
      <alignment horizontal="center"/>
      <protection hidden="1"/>
    </xf>
    <xf numFmtId="0" fontId="18" fillId="6" borderId="3" xfId="0" applyFont="1" applyFill="1" applyBorder="1" applyAlignment="1" applyProtection="1">
      <alignment horizontal="left" vertical="top" wrapText="1"/>
      <protection hidden="1"/>
    </xf>
    <xf numFmtId="0" fontId="18" fillId="6" borderId="0" xfId="0" applyFont="1" applyFill="1" applyAlignment="1" applyProtection="1">
      <alignment horizontal="left" vertical="top" wrapText="1"/>
      <protection hidden="1"/>
    </xf>
    <xf numFmtId="0" fontId="18" fillId="6" borderId="2" xfId="0" applyFont="1" applyFill="1" applyBorder="1" applyAlignment="1" applyProtection="1">
      <alignment horizontal="left" vertical="top" wrapText="1"/>
      <protection hidden="1"/>
    </xf>
    <xf numFmtId="0" fontId="14" fillId="6" borderId="1" xfId="0" applyFont="1" applyFill="1" applyBorder="1" applyAlignment="1" applyProtection="1">
      <alignment horizontal="left" vertical="top" wrapText="1"/>
      <protection hidden="1"/>
    </xf>
    <xf numFmtId="0" fontId="14" fillId="6" borderId="1" xfId="1" applyFont="1" applyFill="1" applyBorder="1" applyAlignment="1" applyProtection="1">
      <alignment horizontal="left" vertical="top" wrapText="1"/>
      <protection hidden="1"/>
    </xf>
    <xf numFmtId="0" fontId="18" fillId="6" borderId="1" xfId="0" applyFont="1" applyFill="1" applyBorder="1" applyAlignment="1" applyProtection="1">
      <alignment horizontal="left" vertical="top" wrapText="1"/>
      <protection hidden="1"/>
    </xf>
  </cellXfs>
  <cellStyles count="3">
    <cellStyle name="Hyperlink" xfId="1" builtinId="8"/>
    <cellStyle name="Normal" xfId="0" builtinId="0" customBuiltin="1"/>
    <cellStyle name="Percent" xfId="2" builtinId="5"/>
  </cellStyles>
  <dxfs count="88">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border diagonalUp="0" diagonalDown="0">
        <left/>
        <right style="thin">
          <color rgb="FF868896"/>
        </right>
        <top/>
        <bottom/>
      </border>
      <protection locked="1" hidden="1"/>
    </dxf>
    <dxf>
      <font>
        <b val="0"/>
        <i val="0"/>
        <strike val="0"/>
        <condense val="0"/>
        <extend val="0"/>
        <outline val="0"/>
        <shadow val="0"/>
        <u val="none"/>
        <vertAlign val="baseline"/>
        <sz val="12"/>
        <color auto="1"/>
        <name val="Calibri"/>
        <family val="2"/>
        <scheme val="minor"/>
      </font>
      <numFmt numFmtId="30" formatCode="@"/>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auto="1"/>
        <name val="Calibri"/>
        <family val="2"/>
        <scheme val="minor"/>
      </font>
      <border diagonalUp="0" diagonalDown="0">
        <left style="thin">
          <color rgb="FF868896"/>
        </left>
        <right/>
        <top/>
        <bottom/>
      </border>
      <protection locked="1" hidden="1"/>
    </dxf>
    <dxf>
      <border outline="0">
        <bottom style="thin">
          <color rgb="FF868896"/>
        </bottom>
      </border>
    </dxf>
    <dxf>
      <font>
        <b val="0"/>
        <i val="0"/>
        <strike val="0"/>
        <condense val="0"/>
        <extend val="0"/>
        <outline val="0"/>
        <shadow val="0"/>
        <u val="none"/>
        <vertAlign val="baseline"/>
        <sz val="12"/>
        <color rgb="FFFF0000"/>
        <name val="Calibri"/>
        <family val="2"/>
        <scheme val="minor"/>
      </font>
      <alignment horizontal="center" vertical="bottom" textRotation="0" wrapText="0" indent="0" justifyLastLine="0" shrinkToFit="0" readingOrder="0"/>
      <protection locked="1" hidden="1"/>
    </dxf>
    <dxf>
      <font>
        <b/>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right style="thin">
          <color theme="2"/>
        </right>
        <top/>
        <bottom/>
      </border>
      <protection locked="1" hidden="1"/>
    </dxf>
    <dxf>
      <font>
        <b val="0"/>
        <i val="0"/>
        <strike val="0"/>
        <condense val="0"/>
        <extend val="0"/>
        <outline val="0"/>
        <shadow val="0"/>
        <u val="none"/>
        <vertAlign val="baseline"/>
        <sz val="12"/>
        <color theme="1"/>
        <name val="Calibri"/>
        <family val="2"/>
        <scheme val="minor"/>
      </font>
      <numFmt numFmtId="30" formatCode="@"/>
      <alignment horizontal="center" vertical="bottom" textRotation="0" wrapText="0" indent="0" justifyLastLine="0" shrinkToFit="0" readingOrder="0"/>
      <protection locked="1" hidden="1"/>
    </dxf>
    <dxf>
      <alignment horizontal="center" vertical="bottom" textRotation="0" wrapText="0" indent="0" justifyLastLine="0" shrinkToFit="0" readingOrder="0"/>
      <protection locked="1" hidden="1"/>
    </dxf>
    <dxf>
      <alignment horizontal="center" vertical="bottom" textRotation="0" wrapText="0" indent="0" justifyLastLine="0" shrinkToFit="0" readingOrder="0"/>
      <border diagonalUp="0" diagonalDown="0">
        <left style="thin">
          <color theme="2"/>
        </left>
        <right/>
        <top/>
        <bottom/>
        <vertical/>
        <horizontal/>
      </border>
      <protection locked="1" hidden="1"/>
    </dxf>
    <dxf>
      <alignment horizontal="left" vertical="bottom" textRotation="0" wrapText="0" indent="0" justifyLastLine="0" shrinkToFit="0" readingOrder="0"/>
      <protection locked="1" hidden="1"/>
    </dxf>
    <dxf>
      <border outline="0">
        <left style="thin">
          <color theme="2"/>
        </left>
        <right style="thin">
          <color theme="2"/>
        </right>
        <bottom style="thin">
          <color theme="2"/>
        </bottom>
      </border>
    </dxf>
    <dxf>
      <protection locked="1" hidden="1"/>
    </dxf>
    <dxf>
      <font>
        <b/>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right style="thin">
          <color rgb="FF868896"/>
        </right>
        <top/>
        <bottom/>
        <vertical/>
        <horizontal/>
      </border>
      <protection locked="1" hidden="1"/>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rgb="FF000000"/>
        <name val="Calibri"/>
        <family val="2"/>
        <scheme val="minor"/>
      </font>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rgb="FF000000"/>
        <name val="Calibri"/>
        <family val="2"/>
        <scheme val="minor"/>
      </font>
      <alignment horizontal="center" vertical="bottom" textRotation="0" wrapText="0" indent="0" justifyLastLine="0" shrinkToFit="0" readingOrder="0"/>
      <border diagonalUp="0" diagonalDown="0">
        <left style="thin">
          <color rgb="FF868896"/>
        </left>
        <right/>
        <top/>
        <bottom/>
        <vertical/>
        <horizontal/>
      </border>
      <protection locked="1" hidden="1"/>
    </dxf>
    <dxf>
      <font>
        <b val="0"/>
        <i val="0"/>
        <strike val="0"/>
        <condense val="0"/>
        <extend val="0"/>
        <outline val="0"/>
        <shadow val="0"/>
        <u val="none"/>
        <vertAlign val="baseline"/>
        <sz val="12"/>
        <color rgb="FF000000"/>
        <name val="Calibri"/>
        <family val="2"/>
        <scheme val="minor"/>
      </font>
      <border diagonalUp="0" diagonalDown="0">
        <left style="thin">
          <color rgb="FF868896"/>
        </left>
        <right/>
        <top/>
        <bottom/>
        <vertical/>
        <horizontal/>
      </border>
      <protection locked="1" hidden="1"/>
    </dxf>
    <dxf>
      <border outline="0">
        <bottom style="thin">
          <color rgb="FF868896"/>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protection locked="1" hidden="1"/>
    </dxf>
    <dxf>
      <font>
        <b/>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right style="thin">
          <color rgb="FF868896"/>
        </right>
        <top/>
        <bottom/>
        <vertical/>
        <horizontal/>
      </border>
      <protection locked="1" hidden="1"/>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rgb="FF000000"/>
        <name val="Calibri"/>
        <family val="2"/>
        <scheme val="minor"/>
      </font>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rgb="FF000000"/>
        <name val="Calibri"/>
        <family val="2"/>
        <scheme val="minor"/>
      </font>
      <alignment horizontal="center" vertical="bottom" textRotation="0" wrapText="0" indent="0" justifyLastLine="0" shrinkToFit="0" readingOrder="0"/>
      <border diagonalUp="0" diagonalDown="0">
        <left style="thin">
          <color rgb="FF868896"/>
        </left>
        <right/>
        <top/>
        <bottom/>
        <vertical/>
        <horizontal/>
      </border>
      <protection locked="1" hidden="1"/>
    </dxf>
    <dxf>
      <font>
        <b val="0"/>
        <i val="0"/>
        <strike val="0"/>
        <condense val="0"/>
        <extend val="0"/>
        <outline val="0"/>
        <shadow val="0"/>
        <u val="none"/>
        <vertAlign val="baseline"/>
        <sz val="12"/>
        <color rgb="FF000000"/>
        <name val="Calibri"/>
        <family val="2"/>
        <scheme val="minor"/>
      </font>
      <border diagonalUp="0" diagonalDown="0">
        <left style="thin">
          <color rgb="FF868896"/>
        </left>
        <right/>
        <top/>
        <bottom/>
        <vertical/>
        <horizontal/>
      </border>
      <protection locked="1" hidden="1"/>
    </dxf>
    <dxf>
      <border outline="0">
        <bottom style="thin">
          <color theme="2"/>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protection locked="1" hidden="1"/>
    </dxf>
    <dxf>
      <font>
        <b/>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right style="thin">
          <color theme="2"/>
        </right>
        <top/>
        <bottom/>
        <vertical/>
        <horizontal/>
      </border>
      <protection locked="1" hidden="1"/>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right style="thin">
          <color theme="2"/>
        </right>
        <top/>
        <bottom/>
        <vertical/>
        <horizontal/>
      </border>
      <protection locked="1" hidden="1"/>
    </dxf>
    <dxf>
      <alignment horizontal="center" vertical="bottom" textRotation="0" wrapText="0" indent="0" justifyLastLine="0" shrinkToFit="0" readingOrder="0"/>
      <protection locked="1" hidden="1"/>
    </dxf>
    <dxf>
      <alignment horizontal="center" vertical="bottom" textRotation="0" wrapText="0" indent="0" justifyLastLine="0" shrinkToFit="0" readingOrder="0"/>
      <border diagonalUp="0" diagonalDown="0">
        <left style="thin">
          <color theme="2"/>
        </left>
        <right/>
        <top/>
        <bottom/>
        <vertical/>
        <horizontal/>
      </border>
      <protection locked="1" hidden="1"/>
    </dxf>
    <dxf>
      <alignment horizontal="left" vertical="bottom" textRotation="0" wrapText="0" indent="0" justifyLastLine="0" shrinkToFit="0" readingOrder="0"/>
      <protection locked="1" hidden="1"/>
    </dxf>
    <dxf>
      <border outline="0">
        <left style="thin">
          <color theme="2"/>
        </left>
        <right style="thin">
          <color theme="2"/>
        </right>
        <bottom style="thin">
          <color theme="2"/>
        </bottom>
      </border>
    </dxf>
    <dxf>
      <protection locked="1" hidden="1"/>
    </dxf>
    <dxf>
      <font>
        <b/>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right style="thin">
          <color theme="2"/>
        </right>
        <top/>
        <bottom/>
        <vertical/>
        <horizontal/>
      </border>
      <protection locked="1" hidden="1"/>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protection locked="1" hidden="1"/>
    </dxf>
    <dxf>
      <alignment horizontal="center" vertical="bottom" textRotation="0" wrapText="0" indent="0" justifyLastLine="0" shrinkToFit="0" readingOrder="0"/>
      <protection locked="1" hidden="1"/>
    </dxf>
    <dxf>
      <alignment horizontal="center" vertical="bottom" textRotation="0" wrapText="0" indent="0" justifyLastLine="0" shrinkToFit="0" readingOrder="0"/>
      <border diagonalUp="0" diagonalDown="0">
        <left style="thin">
          <color theme="2"/>
        </left>
        <right/>
        <top/>
        <bottom/>
        <vertical/>
        <horizontal/>
      </border>
      <protection locked="1" hidden="1"/>
    </dxf>
    <dxf>
      <alignment horizontal="left" vertical="bottom" textRotation="0" wrapText="0" indent="0" justifyLastLine="0" shrinkToFit="0" readingOrder="0"/>
      <protection locked="1" hidden="1"/>
    </dxf>
    <dxf>
      <border outline="0">
        <left style="thin">
          <color theme="2"/>
        </left>
        <right style="thin">
          <color theme="2"/>
        </right>
        <bottom style="thin">
          <color theme="2"/>
        </bottom>
      </border>
    </dxf>
    <dxf>
      <protection locked="1" hidden="1"/>
    </dxf>
    <dxf>
      <font>
        <b/>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right style="thin">
          <color rgb="FF868896"/>
        </right>
        <top/>
        <bottom/>
        <vertical/>
        <horizontal/>
      </border>
      <protection locked="1" hidden="1"/>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rgb="FF000000"/>
        <name val="Calibri"/>
        <family val="2"/>
        <scheme val="minor"/>
      </font>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rgb="FF000000"/>
        <name val="Calibri"/>
        <family val="2"/>
        <scheme val="minor"/>
      </font>
      <alignment horizontal="center" vertical="bottom" textRotation="0" wrapText="0" indent="0" justifyLastLine="0" shrinkToFit="0" readingOrder="0"/>
      <border diagonalUp="0" diagonalDown="0">
        <left style="thin">
          <color rgb="FF868896"/>
        </left>
        <right/>
        <top/>
        <bottom/>
        <vertical/>
        <horizontal/>
      </border>
      <protection locked="1" hidden="1"/>
    </dxf>
    <dxf>
      <font>
        <b val="0"/>
        <i val="0"/>
        <strike val="0"/>
        <condense val="0"/>
        <extend val="0"/>
        <outline val="0"/>
        <shadow val="0"/>
        <u val="none"/>
        <vertAlign val="baseline"/>
        <sz val="12"/>
        <color rgb="FF000000"/>
        <name val="Calibri"/>
        <family val="2"/>
        <scheme val="minor"/>
      </font>
      <border diagonalUp="0" diagonalDown="0">
        <left style="thin">
          <color rgb="FF868896"/>
        </left>
        <right/>
        <top/>
        <bottom/>
        <vertical/>
        <horizontal/>
      </border>
      <protection locked="1" hidden="1"/>
    </dxf>
    <dxf>
      <border outline="0">
        <bottom style="thin">
          <color rgb="FF868896"/>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protection locked="1" hidden="1"/>
    </dxf>
    <dxf>
      <font>
        <b/>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right style="thin">
          <color rgb="FF868896"/>
        </right>
        <top/>
        <bottom/>
        <vertical/>
        <horizontal/>
      </border>
      <protection locked="1" hidden="1"/>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rgb="FF000000"/>
        <name val="Calibri"/>
        <family val="2"/>
        <scheme val="minor"/>
      </font>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rgb="FF000000"/>
        <name val="Calibri"/>
        <family val="2"/>
        <scheme val="minor"/>
      </font>
      <alignment horizontal="center" vertical="bottom" textRotation="0" wrapText="0" indent="0" justifyLastLine="0" shrinkToFit="0" readingOrder="0"/>
      <border diagonalUp="0" diagonalDown="0">
        <left style="thin">
          <color rgb="FF868896"/>
        </left>
        <right/>
        <top/>
        <bottom/>
        <vertical/>
        <horizontal/>
      </border>
      <protection locked="1" hidden="1"/>
    </dxf>
    <dxf>
      <font>
        <b val="0"/>
        <i val="0"/>
        <strike val="0"/>
        <condense val="0"/>
        <extend val="0"/>
        <outline val="0"/>
        <shadow val="0"/>
        <u val="none"/>
        <vertAlign val="baseline"/>
        <sz val="12"/>
        <color rgb="FF000000"/>
        <name val="Calibri"/>
        <family val="2"/>
        <scheme val="minor"/>
      </font>
      <border diagonalUp="0" diagonalDown="0">
        <left style="thin">
          <color rgb="FF868896"/>
        </left>
        <right/>
        <top/>
        <bottom/>
        <vertical/>
        <horizontal/>
      </border>
      <protection locked="1" hidden="1"/>
    </dxf>
    <dxf>
      <border outline="0">
        <bottom style="thin">
          <color rgb="FF868896"/>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protection locked="1" hidden="1"/>
    </dxf>
    <dxf>
      <font>
        <b/>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right style="thin">
          <color rgb="FF868896"/>
        </right>
        <top/>
        <bottom/>
        <vertical/>
        <horizontal/>
      </border>
      <protection locked="1" hidden="1"/>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rgb="FF000000"/>
        <name val="Calibri"/>
        <family val="2"/>
        <scheme val="minor"/>
      </font>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rgb="FF000000"/>
        <name val="Calibri"/>
        <family val="2"/>
        <scheme val="minor"/>
      </font>
      <alignment horizontal="center" vertical="bottom" textRotation="0" wrapText="0" indent="0" justifyLastLine="0" shrinkToFit="0" readingOrder="0"/>
      <border diagonalUp="0" diagonalDown="0">
        <left style="thin">
          <color rgb="FF868896"/>
        </left>
        <right/>
        <top/>
        <bottom/>
        <vertical/>
        <horizontal/>
      </border>
      <protection locked="1" hidden="1"/>
    </dxf>
    <dxf>
      <font>
        <b val="0"/>
        <i val="0"/>
        <strike val="0"/>
        <condense val="0"/>
        <extend val="0"/>
        <outline val="0"/>
        <shadow val="0"/>
        <u val="none"/>
        <vertAlign val="baseline"/>
        <sz val="12"/>
        <color rgb="FF000000"/>
        <name val="Calibri"/>
        <family val="2"/>
        <scheme val="minor"/>
      </font>
      <border diagonalUp="0" diagonalDown="0">
        <left style="thin">
          <color rgb="FF868896"/>
        </left>
        <right/>
        <top/>
        <bottom/>
        <vertical/>
        <horizontal/>
      </border>
      <protection locked="1" hidden="1"/>
    </dxf>
    <dxf>
      <border outline="0">
        <bottom style="thin">
          <color theme="2"/>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protection locked="1" hidden="1"/>
    </dxf>
    <dxf>
      <font>
        <b/>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right style="thin">
          <color theme="2"/>
        </right>
        <top/>
        <bottom/>
        <vertical/>
        <horizontal/>
      </border>
      <protection locked="1" hidden="1"/>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protection locked="1" hidden="1"/>
    </dxf>
    <dxf>
      <alignment horizontal="center" vertical="bottom" textRotation="0" wrapText="0" indent="0" justifyLastLine="0" shrinkToFit="0" readingOrder="0"/>
      <protection locked="1" hidden="1"/>
    </dxf>
    <dxf>
      <alignment horizontal="center" vertical="bottom" textRotation="0" wrapText="0" indent="0" justifyLastLine="0" shrinkToFit="0" readingOrder="0"/>
      <border diagonalUp="0" diagonalDown="0">
        <left style="thin">
          <color theme="2"/>
        </left>
        <right/>
        <top/>
        <bottom/>
        <vertical/>
        <horizontal/>
      </border>
      <protection locked="1" hidden="1"/>
    </dxf>
    <dxf>
      <alignment horizontal="left" vertical="bottom" textRotation="0" wrapText="0" indent="0" justifyLastLine="0" shrinkToFit="0" readingOrder="0"/>
      <protection locked="1" hidden="1"/>
    </dxf>
    <dxf>
      <border outline="0">
        <left style="thin">
          <color theme="2"/>
        </left>
        <right style="thin">
          <color theme="2"/>
        </right>
        <bottom style="thin">
          <color theme="2"/>
        </bottom>
      </border>
    </dxf>
    <dxf>
      <protection locked="1" hidden="1"/>
    </dxf>
    <dxf>
      <font>
        <b/>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right style="thin">
          <color theme="2"/>
        </right>
        <top/>
        <bottom/>
        <vertical/>
        <horizontal/>
      </border>
      <protection locked="1" hidden="1"/>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protection locked="1" hidden="1"/>
    </dxf>
    <dxf>
      <alignment horizontal="center" vertical="bottom" textRotation="0" wrapText="0" indent="0" justifyLastLine="0" shrinkToFit="0" readingOrder="0"/>
      <protection locked="1" hidden="1"/>
    </dxf>
    <dxf>
      <alignment horizontal="center" vertical="bottom" textRotation="0" wrapText="0" indent="0" justifyLastLine="0" shrinkToFit="0" readingOrder="0"/>
      <border diagonalUp="0" diagonalDown="0">
        <left style="thin">
          <color theme="2"/>
        </left>
        <right/>
        <top/>
        <bottom/>
        <vertical/>
        <horizontal/>
      </border>
      <protection locked="1" hidden="1"/>
    </dxf>
    <dxf>
      <alignment horizontal="left" vertical="bottom" textRotation="0" wrapText="0" indent="0" justifyLastLine="0" shrinkToFit="0" readingOrder="0"/>
      <protection locked="1" hidden="1"/>
    </dxf>
    <dxf>
      <border outline="0">
        <left style="thin">
          <color theme="2"/>
        </left>
        <right style="thin">
          <color theme="2"/>
        </right>
        <bottom style="thin">
          <color theme="2"/>
        </bottom>
      </border>
    </dxf>
    <dxf>
      <protection locked="1" hidden="1"/>
    </dxf>
    <dxf>
      <font>
        <b/>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center" vertical="bottom" textRotation="0" wrapText="0" indent="0" justifyLastLine="0" shrinkToFit="0" readingOrder="0"/>
      <protection locked="1" hidden="1"/>
    </dxf>
  </dxfs>
  <tableStyles count="0" defaultTableStyle="TableStyleMedium2" defaultPivotStyle="PivotStyleLight16"/>
  <colors>
    <mruColors>
      <color rgb="FFFADD91"/>
      <color rgb="FFFC7957"/>
      <color rgb="FF000000"/>
      <color rgb="FFC4E8E4"/>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Figures'!$A$210</c:f>
          <c:strCache>
            <c:ptCount val="1"/>
            <c:pt idx="0">
              <c:v>Perth Alexithymia Questionnaire (PAQ)</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stacked"/>
        <c:varyColors val="0"/>
        <c:ser>
          <c:idx val="0"/>
          <c:order val="0"/>
          <c:tx>
            <c:v>SD-1</c:v>
          </c:tx>
          <c:spPr>
            <a:solidFill>
              <a:schemeClr val="bg1">
                <a:alpha val="50000"/>
              </a:schemeClr>
            </a:solidFill>
            <a:ln w="1905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Lit>
          </c:val>
          <c:extLst>
            <c:ext xmlns:c16="http://schemas.microsoft.com/office/drawing/2014/chart" uri="{C3380CC4-5D6E-409C-BE32-E72D297353CC}">
              <c16:uniqueId val="{00000006-8998-1446-89A3-5A1A9849B351}"/>
            </c:ext>
          </c:extLst>
        </c:ser>
        <c:ser>
          <c:idx val="1"/>
          <c:order val="1"/>
          <c:tx>
            <c:v>SD1</c:v>
          </c:tx>
          <c:spPr>
            <a:solidFill>
              <a:schemeClr val="bg1">
                <a:alpha val="5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Lit>
          </c:val>
          <c:extLst>
            <c:ext xmlns:c16="http://schemas.microsoft.com/office/drawing/2014/chart" uri="{C3380CC4-5D6E-409C-BE32-E72D297353CC}">
              <c16:uniqueId val="{00000008-8998-1446-89A3-5A1A9849B351}"/>
            </c:ext>
          </c:extLst>
        </c:ser>
        <c:ser>
          <c:idx val="2"/>
          <c:order val="2"/>
          <c:tx>
            <c:v>SDmax</c:v>
          </c:tx>
          <c:spPr>
            <a:solidFill>
              <a:schemeClr val="accent4">
                <a:lumMod val="60000"/>
                <a:lumOff val="40000"/>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2"/>
              <c:pt idx="0">
                <c:v>5</c:v>
              </c:pt>
              <c:pt idx="1">
                <c:v>5</c:v>
              </c:pt>
              <c:pt idx="2">
                <c:v>5</c:v>
              </c:pt>
              <c:pt idx="3">
                <c:v>5</c:v>
              </c:pt>
              <c:pt idx="4">
                <c:v>5</c:v>
              </c:pt>
              <c:pt idx="5">
                <c:v>0</c:v>
              </c:pt>
              <c:pt idx="6">
                <c:v>5</c:v>
              </c:pt>
              <c:pt idx="7">
                <c:v>5</c:v>
              </c:pt>
              <c:pt idx="8">
                <c:v>5</c:v>
              </c:pt>
              <c:pt idx="9">
                <c:v>5</c:v>
              </c:pt>
              <c:pt idx="10">
                <c:v>5</c:v>
              </c:pt>
              <c:pt idx="11">
                <c:v>5</c:v>
              </c:pt>
            </c:numLit>
          </c:val>
          <c:extLst>
            <c:ext xmlns:c16="http://schemas.microsoft.com/office/drawing/2014/chart" uri="{C3380CC4-5D6E-409C-BE32-E72D297353CC}">
              <c16:uniqueId val="{0000000A-8998-1446-89A3-5A1A9849B351}"/>
            </c:ext>
          </c:extLst>
        </c:ser>
        <c:ser>
          <c:idx val="3"/>
          <c:order val="3"/>
          <c:tx>
            <c:v>SDmin</c:v>
          </c:tx>
          <c:spPr>
            <a:solidFill>
              <a:schemeClr val="accent4">
                <a:lumMod val="60000"/>
                <a:lumOff val="40000"/>
                <a:alpha val="70000"/>
              </a:schemeClr>
            </a:solidFill>
            <a:ln w="12700"/>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2"/>
              <c:pt idx="0">
                <c:v>-5</c:v>
              </c:pt>
              <c:pt idx="1">
                <c:v>-5</c:v>
              </c:pt>
              <c:pt idx="2">
                <c:v>-5</c:v>
              </c:pt>
              <c:pt idx="3">
                <c:v>-5</c:v>
              </c:pt>
              <c:pt idx="4">
                <c:v>-5</c:v>
              </c:pt>
              <c:pt idx="5">
                <c:v>0</c:v>
              </c:pt>
              <c:pt idx="6">
                <c:v>-5</c:v>
              </c:pt>
              <c:pt idx="7">
                <c:v>-5</c:v>
              </c:pt>
              <c:pt idx="8">
                <c:v>-5</c:v>
              </c:pt>
              <c:pt idx="9">
                <c:v>-5</c:v>
              </c:pt>
              <c:pt idx="10">
                <c:v>-5</c:v>
              </c:pt>
              <c:pt idx="11">
                <c:v>-5</c:v>
              </c:pt>
            </c:numLit>
          </c:val>
          <c:extLst>
            <c:ext xmlns:c16="http://schemas.microsoft.com/office/drawing/2014/chart" uri="{C3380CC4-5D6E-409C-BE32-E72D297353CC}">
              <c16:uniqueId val="{0000000B-8998-1446-89A3-5A1A9849B351}"/>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4"/>
          <c:tx>
            <c:strRef>
              <c:f>'Profile Summary and Figures'!$A$210</c:f>
              <c:strCache>
                <c:ptCount val="1"/>
                <c:pt idx="0">
                  <c:v>Perth Alexithymia Questionnaire (PAQ)</c:v>
                </c:pt>
              </c:strCache>
            </c:strRef>
          </c:tx>
          <c:spPr>
            <a:ln>
              <a:solidFill>
                <a:schemeClr val="accent1"/>
              </a:solidFill>
            </a:ln>
            <a:effectLst/>
          </c:spPr>
          <c:marker>
            <c:symbol val="circle"/>
            <c:size val="7"/>
            <c:spPr>
              <a:solidFill>
                <a:schemeClr val="accent1"/>
              </a:solidFill>
              <a:ln>
                <a:solidFill>
                  <a:schemeClr val="accent1">
                    <a:lumMod val="50000"/>
                  </a:schemeClr>
                </a:solidFill>
              </a:ln>
              <a:effectLst/>
            </c:spPr>
          </c:marker>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Ref>
              <c:f>'Profile Summary and Figures'!$D$212:$D$223</c:f>
              <c:numCache>
                <c:formatCode>0.000</c:formatCode>
                <c:ptCount val="12"/>
                <c:pt idx="0">
                  <c:v>0</c:v>
                </c:pt>
                <c:pt idx="1">
                  <c:v>0</c:v>
                </c:pt>
                <c:pt idx="2">
                  <c:v>0</c:v>
                </c:pt>
                <c:pt idx="3">
                  <c:v>0</c:v>
                </c:pt>
                <c:pt idx="4">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C-8998-1446-89A3-5A1A9849B351}"/>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0"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3"/>
          <c:min val="-3"/>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z-score</a:t>
                </a:r>
              </a:p>
            </c:rich>
          </c:tx>
          <c:overlay val="0"/>
        </c:title>
        <c:numFmt formatCode="0" sourceLinked="0"/>
        <c:majorTickMark val="none"/>
        <c:minorTickMark val="none"/>
        <c:tickLblPos val="nextTo"/>
        <c:spPr>
          <a:noFill/>
          <a:ln w="9525">
            <a:noFill/>
          </a:ln>
          <a:effectLst/>
        </c:spPr>
        <c:txPr>
          <a:bodyPr rot="-60000000" spcFirstLastPara="1" vertOverflow="ellipsis" vert="horz" wrap="square" anchor="ctr" anchorCtr="1"/>
          <a:lstStyle/>
          <a:p>
            <a:pPr>
              <a:defRPr sz="105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majorUnit val="1"/>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spPr>
        <a:ln>
          <a:noFill/>
        </a:ln>
      </c:spPr>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Figures'!$A$245</c:f>
          <c:strCache>
            <c:ptCount val="1"/>
            <c:pt idx="0">
              <c:v>Perth Emotion Regulation Competency Inventory (PERCI)</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stacked"/>
        <c:varyColors val="0"/>
        <c:ser>
          <c:idx val="0"/>
          <c:order val="0"/>
          <c:tx>
            <c:v>SD-1</c:v>
          </c:tx>
          <c:spPr>
            <a:solidFill>
              <a:schemeClr val="bg1">
                <a:alpha val="50000"/>
              </a:schemeClr>
            </a:solidFill>
            <a:ln w="1905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Lit>
          </c:val>
          <c:extLst>
            <c:ext xmlns:c16="http://schemas.microsoft.com/office/drawing/2014/chart" uri="{C3380CC4-5D6E-409C-BE32-E72D297353CC}">
              <c16:uniqueId val="{00000000-DFC5-EC45-9756-64ADB1BA578B}"/>
            </c:ext>
          </c:extLst>
        </c:ser>
        <c:ser>
          <c:idx val="1"/>
          <c:order val="1"/>
          <c:tx>
            <c:v>SD1</c:v>
          </c:tx>
          <c:spPr>
            <a:solidFill>
              <a:schemeClr val="bg1">
                <a:alpha val="5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Lit>
          </c:val>
          <c:extLst>
            <c:ext xmlns:c16="http://schemas.microsoft.com/office/drawing/2014/chart" uri="{C3380CC4-5D6E-409C-BE32-E72D297353CC}">
              <c16:uniqueId val="{00000001-DFC5-EC45-9756-64ADB1BA578B}"/>
            </c:ext>
          </c:extLst>
        </c:ser>
        <c:ser>
          <c:idx val="2"/>
          <c:order val="2"/>
          <c:tx>
            <c:v>SDmax</c:v>
          </c:tx>
          <c:spPr>
            <a:solidFill>
              <a:schemeClr val="accent4">
                <a:lumMod val="60000"/>
                <a:lumOff val="40000"/>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4"/>
              <c:pt idx="0">
                <c:v>5</c:v>
              </c:pt>
              <c:pt idx="1">
                <c:v>5</c:v>
              </c:pt>
              <c:pt idx="2">
                <c:v>5</c:v>
              </c:pt>
              <c:pt idx="3">
                <c:v>5</c:v>
              </c:pt>
              <c:pt idx="4">
                <c:v>5</c:v>
              </c:pt>
              <c:pt idx="5">
                <c:v>5</c:v>
              </c:pt>
              <c:pt idx="6">
                <c:v>5</c:v>
              </c:pt>
              <c:pt idx="7">
                <c:v>5</c:v>
              </c:pt>
              <c:pt idx="8">
                <c:v>0</c:v>
              </c:pt>
              <c:pt idx="9">
                <c:v>5</c:v>
              </c:pt>
              <c:pt idx="10">
                <c:v>5</c:v>
              </c:pt>
              <c:pt idx="11">
                <c:v>5</c:v>
              </c:pt>
              <c:pt idx="12">
                <c:v>5</c:v>
              </c:pt>
              <c:pt idx="13">
                <c:v>5</c:v>
              </c:pt>
            </c:numLit>
          </c:val>
          <c:extLst>
            <c:ext xmlns:c16="http://schemas.microsoft.com/office/drawing/2014/chart" uri="{C3380CC4-5D6E-409C-BE32-E72D297353CC}">
              <c16:uniqueId val="{00000002-DFC5-EC45-9756-64ADB1BA578B}"/>
            </c:ext>
          </c:extLst>
        </c:ser>
        <c:ser>
          <c:idx val="3"/>
          <c:order val="3"/>
          <c:tx>
            <c:v>SDmin</c:v>
          </c:tx>
          <c:spPr>
            <a:solidFill>
              <a:schemeClr val="accent4">
                <a:lumMod val="60000"/>
                <a:lumOff val="40000"/>
                <a:alpha val="70000"/>
              </a:schemeClr>
            </a:solidFill>
            <a:ln w="12700"/>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4"/>
              <c:pt idx="0">
                <c:v>-5</c:v>
              </c:pt>
              <c:pt idx="1">
                <c:v>-5</c:v>
              </c:pt>
              <c:pt idx="2">
                <c:v>-5</c:v>
              </c:pt>
              <c:pt idx="3">
                <c:v>-5</c:v>
              </c:pt>
              <c:pt idx="4">
                <c:v>-5</c:v>
              </c:pt>
              <c:pt idx="5">
                <c:v>-5</c:v>
              </c:pt>
              <c:pt idx="6">
                <c:v>-5</c:v>
              </c:pt>
              <c:pt idx="7">
                <c:v>-5</c:v>
              </c:pt>
              <c:pt idx="8">
                <c:v>0</c:v>
              </c:pt>
              <c:pt idx="9">
                <c:v>-5</c:v>
              </c:pt>
              <c:pt idx="10">
                <c:v>-5</c:v>
              </c:pt>
              <c:pt idx="11">
                <c:v>-5</c:v>
              </c:pt>
              <c:pt idx="12">
                <c:v>-5</c:v>
              </c:pt>
              <c:pt idx="13">
                <c:v>-5</c:v>
              </c:pt>
            </c:numLit>
          </c:val>
          <c:extLst>
            <c:ext xmlns:c16="http://schemas.microsoft.com/office/drawing/2014/chart" uri="{C3380CC4-5D6E-409C-BE32-E72D297353CC}">
              <c16:uniqueId val="{00000003-DFC5-EC45-9756-64ADB1BA578B}"/>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4"/>
          <c:tx>
            <c:strRef>
              <c:f>'Profile Summary and Figures'!$A$245</c:f>
              <c:strCache>
                <c:ptCount val="1"/>
                <c:pt idx="0">
                  <c:v>Perth Emotion Regulation Competency Inventory (PERCI)</c:v>
                </c:pt>
              </c:strCache>
            </c:strRef>
          </c:tx>
          <c:spPr>
            <a:ln>
              <a:solidFill>
                <a:schemeClr val="accent1"/>
              </a:solidFill>
            </a:ln>
          </c:spPr>
          <c:marker>
            <c:symbol val="circle"/>
            <c:size val="7"/>
            <c:spPr>
              <a:solidFill>
                <a:schemeClr val="accent1"/>
              </a:solidFill>
              <a:ln>
                <a:solidFill>
                  <a:schemeClr val="accent1">
                    <a:lumMod val="50000"/>
                  </a:schemeClr>
                </a:solidFill>
              </a:ln>
              <a:effectLst/>
            </c:spPr>
          </c:marker>
          <c:cat>
            <c:strRef>
              <c:f>'Profile Summary and Figures'!$B$247:$B$260</c:f>
              <c:strCache>
                <c:ptCount val="14"/>
                <c:pt idx="0">
                  <c:v>Neg-Exp</c:v>
                </c:pt>
                <c:pt idx="1">
                  <c:v>Neg-Inh</c:v>
                </c:pt>
                <c:pt idx="2">
                  <c:v>Neg-Act</c:v>
                </c:pt>
                <c:pt idx="3">
                  <c:v>Neg-Tol</c:v>
                </c:pt>
                <c:pt idx="4">
                  <c:v>Pos-Exp</c:v>
                </c:pt>
                <c:pt idx="5">
                  <c:v>Pos-Inh</c:v>
                </c:pt>
                <c:pt idx="6">
                  <c:v>Pos-Act</c:v>
                </c:pt>
                <c:pt idx="7">
                  <c:v>Pos-Tol</c:v>
                </c:pt>
                <c:pt idx="9">
                  <c:v>Neg-Reg</c:v>
                </c:pt>
                <c:pt idx="10">
                  <c:v>Pos-Reg</c:v>
                </c:pt>
                <c:pt idx="11">
                  <c:v>Gen-Hed</c:v>
                </c:pt>
                <c:pt idx="12">
                  <c:v>Pos-Con</c:v>
                </c:pt>
                <c:pt idx="13">
                  <c:v>Gen-Reg (Total)</c:v>
                </c:pt>
              </c:strCache>
            </c:strRef>
          </c:cat>
          <c:val>
            <c:numRef>
              <c:f>'Profile Summary and Figures'!$D$247:$D$260</c:f>
              <c:numCache>
                <c:formatCode>0.000</c:formatCode>
                <c:ptCount val="14"/>
                <c:pt idx="0">
                  <c:v>0</c:v>
                </c:pt>
                <c:pt idx="1">
                  <c:v>0</c:v>
                </c:pt>
                <c:pt idx="2">
                  <c:v>0</c:v>
                </c:pt>
                <c:pt idx="3">
                  <c:v>0</c:v>
                </c:pt>
                <c:pt idx="4">
                  <c:v>0</c:v>
                </c:pt>
                <c:pt idx="5">
                  <c:v>0</c:v>
                </c:pt>
                <c:pt idx="6">
                  <c:v>0</c:v>
                </c:pt>
                <c:pt idx="7">
                  <c:v>0</c:v>
                </c:pt>
                <c:pt idx="9">
                  <c:v>0</c:v>
                </c:pt>
                <c:pt idx="10">
                  <c:v>0</c:v>
                </c:pt>
                <c:pt idx="11">
                  <c:v>0</c:v>
                </c:pt>
                <c:pt idx="12">
                  <c:v>0</c:v>
                </c:pt>
                <c:pt idx="13">
                  <c:v>0</c:v>
                </c:pt>
              </c:numCache>
            </c:numRef>
          </c:val>
          <c:smooth val="0"/>
          <c:extLst>
            <c:ext xmlns:c16="http://schemas.microsoft.com/office/drawing/2014/chart" uri="{C3380CC4-5D6E-409C-BE32-E72D297353CC}">
              <c16:uniqueId val="{00000004-DFC5-EC45-9756-64ADB1BA578B}"/>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0"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5"/>
          <c:min val="-5"/>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z-score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majorUnit val="1"/>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Figures'!$A$432</c:f>
          <c:strCache>
            <c:ptCount val="1"/>
            <c:pt idx="0">
              <c:v>The Personality Inventory for DSM–5 (PID-5)</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stacked"/>
        <c:varyColors val="0"/>
        <c:ser>
          <c:idx val="0"/>
          <c:order val="0"/>
          <c:tx>
            <c:v>SD-1</c:v>
          </c:tx>
          <c:spPr>
            <a:solidFill>
              <a:schemeClr val="bg1">
                <a:alpha val="50000"/>
              </a:schemeClr>
            </a:solidFill>
            <a:ln w="1905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Lit>
          </c:val>
          <c:extLst>
            <c:ext xmlns:c16="http://schemas.microsoft.com/office/drawing/2014/chart" uri="{C3380CC4-5D6E-409C-BE32-E72D297353CC}">
              <c16:uniqueId val="{00000000-A4E8-3743-9944-A1F127C99B63}"/>
            </c:ext>
          </c:extLst>
        </c:ser>
        <c:ser>
          <c:idx val="1"/>
          <c:order val="1"/>
          <c:tx>
            <c:v>SD1</c:v>
          </c:tx>
          <c:spPr>
            <a:solidFill>
              <a:schemeClr val="bg1">
                <a:alpha val="5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Lit>
          </c:val>
          <c:extLst>
            <c:ext xmlns:c16="http://schemas.microsoft.com/office/drawing/2014/chart" uri="{C3380CC4-5D6E-409C-BE32-E72D297353CC}">
              <c16:uniqueId val="{00000001-A4E8-3743-9944-A1F127C99B63}"/>
            </c:ext>
          </c:extLst>
        </c:ser>
        <c:ser>
          <c:idx val="2"/>
          <c:order val="2"/>
          <c:tx>
            <c:v>SDmax</c:v>
          </c:tx>
          <c:spPr>
            <a:solidFill>
              <a:schemeClr val="accent4">
                <a:lumMod val="60000"/>
                <a:lumOff val="40000"/>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31"/>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0</c:v>
              </c:pt>
              <c:pt idx="26">
                <c:v>5</c:v>
              </c:pt>
              <c:pt idx="27">
                <c:v>5</c:v>
              </c:pt>
              <c:pt idx="28">
                <c:v>5</c:v>
              </c:pt>
              <c:pt idx="29">
                <c:v>5</c:v>
              </c:pt>
              <c:pt idx="30">
                <c:v>5</c:v>
              </c:pt>
            </c:numLit>
          </c:val>
          <c:extLst>
            <c:ext xmlns:c16="http://schemas.microsoft.com/office/drawing/2014/chart" uri="{C3380CC4-5D6E-409C-BE32-E72D297353CC}">
              <c16:uniqueId val="{00000002-A4E8-3743-9944-A1F127C99B63}"/>
            </c:ext>
          </c:extLst>
        </c:ser>
        <c:ser>
          <c:idx val="3"/>
          <c:order val="3"/>
          <c:tx>
            <c:v>SDmin</c:v>
          </c:tx>
          <c:spPr>
            <a:solidFill>
              <a:schemeClr val="accent4">
                <a:lumMod val="60000"/>
                <a:lumOff val="40000"/>
                <a:alpha val="70000"/>
              </a:schemeClr>
            </a:solidFill>
            <a:ln w="12700"/>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31"/>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0</c:v>
              </c:pt>
              <c:pt idx="26">
                <c:v>-5</c:v>
              </c:pt>
              <c:pt idx="27">
                <c:v>-5</c:v>
              </c:pt>
              <c:pt idx="28">
                <c:v>-5</c:v>
              </c:pt>
              <c:pt idx="29">
                <c:v>-5</c:v>
              </c:pt>
              <c:pt idx="30">
                <c:v>-5</c:v>
              </c:pt>
            </c:numLit>
          </c:val>
          <c:extLst>
            <c:ext xmlns:c16="http://schemas.microsoft.com/office/drawing/2014/chart" uri="{C3380CC4-5D6E-409C-BE32-E72D297353CC}">
              <c16:uniqueId val="{00000003-A4E8-3743-9944-A1F127C99B63}"/>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4"/>
          <c:tx>
            <c:strRef>
              <c:f>'Profile Summary and Figures'!$A$432</c:f>
              <c:strCache>
                <c:ptCount val="1"/>
                <c:pt idx="0">
                  <c:v>The Personality Inventory for DSM–5 (PID-5)</c:v>
                </c:pt>
              </c:strCache>
            </c:strRef>
          </c:tx>
          <c:spPr>
            <a:ln>
              <a:solidFill>
                <a:schemeClr val="accent1"/>
              </a:solidFill>
            </a:ln>
          </c:spPr>
          <c:marker>
            <c:symbol val="circle"/>
            <c:size val="7"/>
            <c:spPr>
              <a:solidFill>
                <a:schemeClr val="accent1"/>
              </a:solidFill>
              <a:ln>
                <a:solidFill>
                  <a:schemeClr val="accent1">
                    <a:lumMod val="50000"/>
                  </a:schemeClr>
                </a:solidFill>
              </a:ln>
              <a:effectLst/>
            </c:spPr>
          </c:marker>
          <c:cat>
            <c:strRef>
              <c:f>'Profile Summary and Figures'!$B$434:$B$464</c:f>
              <c:strCache>
                <c:ptCount val="31"/>
                <c:pt idx="0">
                  <c:v>Anhedonia</c:v>
                </c:pt>
                <c:pt idx="1">
                  <c:v>Anxiousness</c:v>
                </c:pt>
                <c:pt idx="2">
                  <c:v>Attention seeking</c:v>
                </c:pt>
                <c:pt idx="3">
                  <c:v>Calousness</c:v>
                </c:pt>
                <c:pt idx="4">
                  <c:v>Deceitfulness</c:v>
                </c:pt>
                <c:pt idx="5">
                  <c:v>Depressivity</c:v>
                </c:pt>
                <c:pt idx="6">
                  <c:v>Distractibility</c:v>
                </c:pt>
                <c:pt idx="7">
                  <c:v>Eccentricity</c:v>
                </c:pt>
                <c:pt idx="8">
                  <c:v>Emotional lability</c:v>
                </c:pt>
                <c:pt idx="9">
                  <c:v>Grandiosity</c:v>
                </c:pt>
                <c:pt idx="10">
                  <c:v>Hostility</c:v>
                </c:pt>
                <c:pt idx="11">
                  <c:v>Impulsivity</c:v>
                </c:pt>
                <c:pt idx="12">
                  <c:v>Intimacy avoidance</c:v>
                </c:pt>
                <c:pt idx="13">
                  <c:v>Irresponsibility</c:v>
                </c:pt>
                <c:pt idx="14">
                  <c:v>Manipulativeness</c:v>
                </c:pt>
                <c:pt idx="15">
                  <c:v>Perceptual dysregulation</c:v>
                </c:pt>
                <c:pt idx="16">
                  <c:v>Perseveration</c:v>
                </c:pt>
                <c:pt idx="17">
                  <c:v>Restricted affectivity</c:v>
                </c:pt>
                <c:pt idx="18">
                  <c:v>Rigid perfectionism</c:v>
                </c:pt>
                <c:pt idx="19">
                  <c:v>Risk taking</c:v>
                </c:pt>
                <c:pt idx="20">
                  <c:v>Separation insecurity</c:v>
                </c:pt>
                <c:pt idx="21">
                  <c:v>Submissiveness</c:v>
                </c:pt>
                <c:pt idx="22">
                  <c:v>Suspiciousness</c:v>
                </c:pt>
                <c:pt idx="23">
                  <c:v>Unusual beliefs &amp; experiences</c:v>
                </c:pt>
                <c:pt idx="24">
                  <c:v>Withdrawal</c:v>
                </c:pt>
                <c:pt idx="26">
                  <c:v>Negative affect</c:v>
                </c:pt>
                <c:pt idx="27">
                  <c:v>Detachment</c:v>
                </c:pt>
                <c:pt idx="28">
                  <c:v>Antagonism</c:v>
                </c:pt>
                <c:pt idx="29">
                  <c:v>Disinhibition</c:v>
                </c:pt>
                <c:pt idx="30">
                  <c:v>Psychoticism</c:v>
                </c:pt>
              </c:strCache>
            </c:strRef>
          </c:cat>
          <c:val>
            <c:numRef>
              <c:f>'Profile Summary and Figures'!$D$434:$D$464</c:f>
              <c:numCache>
                <c:formatCode>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6">
                  <c:v>0</c:v>
                </c:pt>
                <c:pt idx="27">
                  <c:v>0</c:v>
                </c:pt>
                <c:pt idx="28">
                  <c:v>0</c:v>
                </c:pt>
                <c:pt idx="29">
                  <c:v>0</c:v>
                </c:pt>
                <c:pt idx="30">
                  <c:v>0</c:v>
                </c:pt>
              </c:numCache>
            </c:numRef>
          </c:val>
          <c:smooth val="0"/>
          <c:extLst>
            <c:ext xmlns:c16="http://schemas.microsoft.com/office/drawing/2014/chart" uri="{C3380CC4-5D6E-409C-BE32-E72D297353CC}">
              <c16:uniqueId val="{00000004-A4E8-3743-9944-A1F127C99B63}"/>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0"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6"/>
          <c:min val="-6"/>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z-score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majorUnit val="1"/>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Figures'!$A$265</c:f>
          <c:strCache>
            <c:ptCount val="1"/>
            <c:pt idx="0">
              <c:v>Perth Emotional Reactivity Scale (PERS)</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stacked"/>
        <c:varyColors val="0"/>
        <c:ser>
          <c:idx val="0"/>
          <c:order val="0"/>
          <c:tx>
            <c:v>SD-1</c:v>
          </c:tx>
          <c:spPr>
            <a:solidFill>
              <a:schemeClr val="bg1">
                <a:alpha val="50000"/>
              </a:schemeClr>
            </a:solidFill>
            <a:ln w="1905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9"/>
              <c:pt idx="0">
                <c:v>-1</c:v>
              </c:pt>
              <c:pt idx="1">
                <c:v>-1</c:v>
              </c:pt>
              <c:pt idx="2">
                <c:v>-1</c:v>
              </c:pt>
              <c:pt idx="3">
                <c:v>-1</c:v>
              </c:pt>
              <c:pt idx="4">
                <c:v>-1</c:v>
              </c:pt>
              <c:pt idx="5">
                <c:v>-1</c:v>
              </c:pt>
              <c:pt idx="6">
                <c:v>-1</c:v>
              </c:pt>
              <c:pt idx="7">
                <c:v>-1</c:v>
              </c:pt>
              <c:pt idx="8">
                <c:v>-1</c:v>
              </c:pt>
            </c:numLit>
          </c:val>
          <c:extLst>
            <c:ext xmlns:c16="http://schemas.microsoft.com/office/drawing/2014/chart" uri="{C3380CC4-5D6E-409C-BE32-E72D297353CC}">
              <c16:uniqueId val="{00000000-5278-CE4C-9EA7-741B413AEEDC}"/>
            </c:ext>
          </c:extLst>
        </c:ser>
        <c:ser>
          <c:idx val="1"/>
          <c:order val="1"/>
          <c:tx>
            <c:v>SD1</c:v>
          </c:tx>
          <c:spPr>
            <a:solidFill>
              <a:schemeClr val="bg1">
                <a:alpha val="5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9"/>
              <c:pt idx="0">
                <c:v>1</c:v>
              </c:pt>
              <c:pt idx="1">
                <c:v>1</c:v>
              </c:pt>
              <c:pt idx="2">
                <c:v>1</c:v>
              </c:pt>
              <c:pt idx="3">
                <c:v>1</c:v>
              </c:pt>
              <c:pt idx="4">
                <c:v>1</c:v>
              </c:pt>
              <c:pt idx="5">
                <c:v>1</c:v>
              </c:pt>
              <c:pt idx="6">
                <c:v>1</c:v>
              </c:pt>
              <c:pt idx="7">
                <c:v>1</c:v>
              </c:pt>
              <c:pt idx="8">
                <c:v>1</c:v>
              </c:pt>
            </c:numLit>
          </c:val>
          <c:extLst>
            <c:ext xmlns:c16="http://schemas.microsoft.com/office/drawing/2014/chart" uri="{C3380CC4-5D6E-409C-BE32-E72D297353CC}">
              <c16:uniqueId val="{00000001-5278-CE4C-9EA7-741B413AEEDC}"/>
            </c:ext>
          </c:extLst>
        </c:ser>
        <c:ser>
          <c:idx val="2"/>
          <c:order val="2"/>
          <c:tx>
            <c:v>SDmax</c:v>
          </c:tx>
          <c:spPr>
            <a:solidFill>
              <a:schemeClr val="accent4">
                <a:lumMod val="60000"/>
                <a:lumOff val="40000"/>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9"/>
              <c:pt idx="0">
                <c:v>5</c:v>
              </c:pt>
              <c:pt idx="1">
                <c:v>5</c:v>
              </c:pt>
              <c:pt idx="2">
                <c:v>5</c:v>
              </c:pt>
              <c:pt idx="3">
                <c:v>5</c:v>
              </c:pt>
              <c:pt idx="4">
                <c:v>5</c:v>
              </c:pt>
              <c:pt idx="5">
                <c:v>5</c:v>
              </c:pt>
              <c:pt idx="6">
                <c:v>0</c:v>
              </c:pt>
              <c:pt idx="7">
                <c:v>5</c:v>
              </c:pt>
              <c:pt idx="8">
                <c:v>5</c:v>
              </c:pt>
            </c:numLit>
          </c:val>
          <c:extLst>
            <c:ext xmlns:c16="http://schemas.microsoft.com/office/drawing/2014/chart" uri="{C3380CC4-5D6E-409C-BE32-E72D297353CC}">
              <c16:uniqueId val="{00000002-5278-CE4C-9EA7-741B413AEEDC}"/>
            </c:ext>
          </c:extLst>
        </c:ser>
        <c:ser>
          <c:idx val="3"/>
          <c:order val="3"/>
          <c:tx>
            <c:v>SDmin</c:v>
          </c:tx>
          <c:spPr>
            <a:solidFill>
              <a:schemeClr val="accent4">
                <a:lumMod val="60000"/>
                <a:lumOff val="40000"/>
                <a:alpha val="70000"/>
              </a:schemeClr>
            </a:solidFill>
            <a:ln w="12700"/>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9"/>
              <c:pt idx="0">
                <c:v>-5</c:v>
              </c:pt>
              <c:pt idx="1">
                <c:v>-5</c:v>
              </c:pt>
              <c:pt idx="2">
                <c:v>-5</c:v>
              </c:pt>
              <c:pt idx="3">
                <c:v>-5</c:v>
              </c:pt>
              <c:pt idx="4">
                <c:v>-5</c:v>
              </c:pt>
              <c:pt idx="5">
                <c:v>-5</c:v>
              </c:pt>
              <c:pt idx="6">
                <c:v>0</c:v>
              </c:pt>
              <c:pt idx="7">
                <c:v>-5</c:v>
              </c:pt>
              <c:pt idx="8">
                <c:v>-5</c:v>
              </c:pt>
            </c:numLit>
          </c:val>
          <c:extLst>
            <c:ext xmlns:c16="http://schemas.microsoft.com/office/drawing/2014/chart" uri="{C3380CC4-5D6E-409C-BE32-E72D297353CC}">
              <c16:uniqueId val="{00000003-5278-CE4C-9EA7-741B413AEEDC}"/>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4"/>
          <c:tx>
            <c:strRef>
              <c:f>'Profile Summary and Figures'!$A$265</c:f>
              <c:strCache>
                <c:ptCount val="1"/>
                <c:pt idx="0">
                  <c:v>Perth Emotional Reactivity Scale (PERS)</c:v>
                </c:pt>
              </c:strCache>
            </c:strRef>
          </c:tx>
          <c:spPr>
            <a:ln>
              <a:solidFill>
                <a:schemeClr val="accent1"/>
              </a:solidFill>
            </a:ln>
          </c:spPr>
          <c:marker>
            <c:symbol val="circle"/>
            <c:size val="7"/>
            <c:spPr>
              <a:solidFill>
                <a:schemeClr val="accent1"/>
              </a:solidFill>
              <a:ln>
                <a:solidFill>
                  <a:schemeClr val="accent1">
                    <a:lumMod val="50000"/>
                  </a:schemeClr>
                </a:solidFill>
              </a:ln>
              <a:effectLst/>
            </c:spPr>
          </c:marker>
          <c:cat>
            <c:strRef>
              <c:f>'Profile Summary and Figures'!$B$267:$B$275</c:f>
              <c:strCache>
                <c:ptCount val="9"/>
                <c:pt idx="0">
                  <c:v>Neg-Act</c:v>
                </c:pt>
                <c:pt idx="1">
                  <c:v>Neg-Int</c:v>
                </c:pt>
                <c:pt idx="2">
                  <c:v>Neg-Dur</c:v>
                </c:pt>
                <c:pt idx="3">
                  <c:v>Pos-Act</c:v>
                </c:pt>
                <c:pt idx="4">
                  <c:v>Pos-Int</c:v>
                </c:pt>
                <c:pt idx="5">
                  <c:v>Pos-Dur</c:v>
                </c:pt>
                <c:pt idx="7">
                  <c:v>Neg-Reac</c:v>
                </c:pt>
                <c:pt idx="8">
                  <c:v>Pos-Reac</c:v>
                </c:pt>
              </c:strCache>
            </c:strRef>
          </c:cat>
          <c:val>
            <c:numRef>
              <c:f>'Profile Summary and Figures'!$D$267:$D$275</c:f>
              <c:numCache>
                <c:formatCode>General</c:formatCode>
                <c:ptCount val="9"/>
                <c:pt idx="0">
                  <c:v>0</c:v>
                </c:pt>
                <c:pt idx="1">
                  <c:v>0</c:v>
                </c:pt>
                <c:pt idx="2">
                  <c:v>0</c:v>
                </c:pt>
                <c:pt idx="3">
                  <c:v>0</c:v>
                </c:pt>
                <c:pt idx="4">
                  <c:v>0</c:v>
                </c:pt>
                <c:pt idx="5">
                  <c:v>0</c:v>
                </c:pt>
                <c:pt idx="7">
                  <c:v>0</c:v>
                </c:pt>
                <c:pt idx="8">
                  <c:v>0</c:v>
                </c:pt>
              </c:numCache>
            </c:numRef>
          </c:val>
          <c:smooth val="0"/>
          <c:extLst>
            <c:ext xmlns:c16="http://schemas.microsoft.com/office/drawing/2014/chart" uri="{C3380CC4-5D6E-409C-BE32-E72D297353CC}">
              <c16:uniqueId val="{00000004-5278-CE4C-9EA7-741B413AEEDC}"/>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0"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4.5"/>
          <c:min val="-4.5"/>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z-score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majorUnit val="1"/>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Figures'!$A$297</c:f>
          <c:strCache>
            <c:ptCount val="1"/>
            <c:pt idx="0">
              <c:v>Emotion Beliefs Questionnaire (EBQ)</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stacked"/>
        <c:varyColors val="0"/>
        <c:ser>
          <c:idx val="0"/>
          <c:order val="0"/>
          <c:tx>
            <c:v>SD-1</c:v>
          </c:tx>
          <c:spPr>
            <a:solidFill>
              <a:schemeClr val="bg1">
                <a:alpha val="50000"/>
              </a:schemeClr>
            </a:solidFill>
            <a:ln w="1905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8"/>
              <c:pt idx="0">
                <c:v>-1</c:v>
              </c:pt>
              <c:pt idx="1">
                <c:v>-1</c:v>
              </c:pt>
              <c:pt idx="2">
                <c:v>-1</c:v>
              </c:pt>
              <c:pt idx="3">
                <c:v>-1</c:v>
              </c:pt>
              <c:pt idx="4">
                <c:v>-1</c:v>
              </c:pt>
              <c:pt idx="5">
                <c:v>-1</c:v>
              </c:pt>
              <c:pt idx="6">
                <c:v>-1</c:v>
              </c:pt>
              <c:pt idx="7">
                <c:v>-1</c:v>
              </c:pt>
            </c:numLit>
          </c:val>
          <c:extLst>
            <c:ext xmlns:c16="http://schemas.microsoft.com/office/drawing/2014/chart" uri="{C3380CC4-5D6E-409C-BE32-E72D297353CC}">
              <c16:uniqueId val="{00000000-10D4-F54B-B65D-CEE82F72BB99}"/>
            </c:ext>
          </c:extLst>
        </c:ser>
        <c:ser>
          <c:idx val="1"/>
          <c:order val="1"/>
          <c:tx>
            <c:v>SD1</c:v>
          </c:tx>
          <c:spPr>
            <a:solidFill>
              <a:schemeClr val="bg1">
                <a:alpha val="5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8"/>
              <c:pt idx="0">
                <c:v>1</c:v>
              </c:pt>
              <c:pt idx="1">
                <c:v>1</c:v>
              </c:pt>
              <c:pt idx="2">
                <c:v>1</c:v>
              </c:pt>
              <c:pt idx="3">
                <c:v>1</c:v>
              </c:pt>
              <c:pt idx="4">
                <c:v>1</c:v>
              </c:pt>
              <c:pt idx="5">
                <c:v>1</c:v>
              </c:pt>
              <c:pt idx="6">
                <c:v>1</c:v>
              </c:pt>
              <c:pt idx="7">
                <c:v>1</c:v>
              </c:pt>
            </c:numLit>
          </c:val>
          <c:extLst>
            <c:ext xmlns:c16="http://schemas.microsoft.com/office/drawing/2014/chart" uri="{C3380CC4-5D6E-409C-BE32-E72D297353CC}">
              <c16:uniqueId val="{00000001-10D4-F54B-B65D-CEE82F72BB99}"/>
            </c:ext>
          </c:extLst>
        </c:ser>
        <c:ser>
          <c:idx val="2"/>
          <c:order val="2"/>
          <c:tx>
            <c:v>SDmax</c:v>
          </c:tx>
          <c:spPr>
            <a:solidFill>
              <a:schemeClr val="accent4">
                <a:lumMod val="60000"/>
                <a:lumOff val="40000"/>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8"/>
              <c:pt idx="0">
                <c:v>5</c:v>
              </c:pt>
              <c:pt idx="1">
                <c:v>5</c:v>
              </c:pt>
              <c:pt idx="2">
                <c:v>5</c:v>
              </c:pt>
              <c:pt idx="3">
                <c:v>5</c:v>
              </c:pt>
              <c:pt idx="4">
                <c:v>0</c:v>
              </c:pt>
              <c:pt idx="5">
                <c:v>5</c:v>
              </c:pt>
              <c:pt idx="6">
                <c:v>5</c:v>
              </c:pt>
              <c:pt idx="7">
                <c:v>5</c:v>
              </c:pt>
            </c:numLit>
          </c:val>
          <c:extLst>
            <c:ext xmlns:c16="http://schemas.microsoft.com/office/drawing/2014/chart" uri="{C3380CC4-5D6E-409C-BE32-E72D297353CC}">
              <c16:uniqueId val="{00000002-10D4-F54B-B65D-CEE82F72BB99}"/>
            </c:ext>
          </c:extLst>
        </c:ser>
        <c:ser>
          <c:idx val="3"/>
          <c:order val="3"/>
          <c:tx>
            <c:v>SDmin</c:v>
          </c:tx>
          <c:spPr>
            <a:solidFill>
              <a:schemeClr val="accent4">
                <a:lumMod val="60000"/>
                <a:lumOff val="40000"/>
                <a:alpha val="70000"/>
              </a:schemeClr>
            </a:solidFill>
            <a:ln w="12700"/>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8"/>
              <c:pt idx="0">
                <c:v>-5</c:v>
              </c:pt>
              <c:pt idx="1">
                <c:v>-5</c:v>
              </c:pt>
              <c:pt idx="2">
                <c:v>-5</c:v>
              </c:pt>
              <c:pt idx="3">
                <c:v>-5</c:v>
              </c:pt>
              <c:pt idx="4">
                <c:v>0</c:v>
              </c:pt>
              <c:pt idx="5">
                <c:v>-5</c:v>
              </c:pt>
              <c:pt idx="6">
                <c:v>-5</c:v>
              </c:pt>
              <c:pt idx="7">
                <c:v>-5</c:v>
              </c:pt>
            </c:numLit>
          </c:val>
          <c:extLst>
            <c:ext xmlns:c16="http://schemas.microsoft.com/office/drawing/2014/chart" uri="{C3380CC4-5D6E-409C-BE32-E72D297353CC}">
              <c16:uniqueId val="{00000003-10D4-F54B-B65D-CEE82F72BB99}"/>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4"/>
          <c:tx>
            <c:strRef>
              <c:f>'Profile Summary and Figures'!$A$297</c:f>
              <c:strCache>
                <c:ptCount val="1"/>
                <c:pt idx="0">
                  <c:v>Emotion Beliefs Questionnaire (EBQ)</c:v>
                </c:pt>
              </c:strCache>
            </c:strRef>
          </c:tx>
          <c:spPr>
            <a:ln>
              <a:solidFill>
                <a:schemeClr val="accent1"/>
              </a:solidFill>
            </a:ln>
          </c:spPr>
          <c:marker>
            <c:symbol val="circle"/>
            <c:size val="7"/>
            <c:spPr>
              <a:solidFill>
                <a:schemeClr val="accent1"/>
              </a:solidFill>
              <a:ln>
                <a:solidFill>
                  <a:schemeClr val="accent1">
                    <a:lumMod val="50000"/>
                  </a:schemeClr>
                </a:solidFill>
              </a:ln>
              <a:effectLst/>
            </c:spPr>
          </c:marker>
          <c:cat>
            <c:strRef>
              <c:f>'Profile Summary and Figures'!$B$299:$B$306</c:f>
              <c:strCache>
                <c:ptCount val="8"/>
                <c:pt idx="0">
                  <c:v>Neg-Con</c:v>
                </c:pt>
                <c:pt idx="1">
                  <c:v>Pos-Con</c:v>
                </c:pt>
                <c:pt idx="2">
                  <c:v>Neg-Use</c:v>
                </c:pt>
                <c:pt idx="3">
                  <c:v>Neg-Use</c:v>
                </c:pt>
                <c:pt idx="5">
                  <c:v>Gen-Con</c:v>
                </c:pt>
                <c:pt idx="6">
                  <c:v>Gen-Use</c:v>
                </c:pt>
                <c:pt idx="7">
                  <c:v>Total</c:v>
                </c:pt>
              </c:strCache>
            </c:strRef>
          </c:cat>
          <c:val>
            <c:numRef>
              <c:f>'Profile Summary and Figures'!$D$299:$D$306</c:f>
              <c:numCache>
                <c:formatCode>0.000</c:formatCode>
                <c:ptCount val="8"/>
                <c:pt idx="0">
                  <c:v>0</c:v>
                </c:pt>
                <c:pt idx="1">
                  <c:v>0</c:v>
                </c:pt>
                <c:pt idx="2">
                  <c:v>0</c:v>
                </c:pt>
                <c:pt idx="3">
                  <c:v>0</c:v>
                </c:pt>
                <c:pt idx="5">
                  <c:v>0</c:v>
                </c:pt>
                <c:pt idx="6">
                  <c:v>0</c:v>
                </c:pt>
                <c:pt idx="7">
                  <c:v>0</c:v>
                </c:pt>
              </c:numCache>
            </c:numRef>
          </c:val>
          <c:smooth val="0"/>
          <c:extLst>
            <c:ext xmlns:c16="http://schemas.microsoft.com/office/drawing/2014/chart" uri="{C3380CC4-5D6E-409C-BE32-E72D297353CC}">
              <c16:uniqueId val="{00000004-10D4-F54B-B65D-CEE82F72BB99}"/>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0"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5"/>
          <c:min val="-5"/>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z-score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majorUnit val="1"/>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Figures'!$A$313</c:f>
          <c:strCache>
            <c:ptCount val="1"/>
            <c:pt idx="0">
              <c:v>Emotion Regulation Questionnaire (ERQ)</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stacked"/>
        <c:varyColors val="0"/>
        <c:ser>
          <c:idx val="0"/>
          <c:order val="0"/>
          <c:tx>
            <c:v>SD-1</c:v>
          </c:tx>
          <c:spPr>
            <a:solidFill>
              <a:schemeClr val="bg1">
                <a:alpha val="50000"/>
              </a:schemeClr>
            </a:solidFill>
            <a:ln w="1905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2"/>
              <c:pt idx="0">
                <c:v>-1</c:v>
              </c:pt>
              <c:pt idx="1">
                <c:v>-1</c:v>
              </c:pt>
            </c:numLit>
          </c:val>
          <c:extLst>
            <c:ext xmlns:c16="http://schemas.microsoft.com/office/drawing/2014/chart" uri="{C3380CC4-5D6E-409C-BE32-E72D297353CC}">
              <c16:uniqueId val="{00000000-C025-C146-9B05-16EEF2FFA5B1}"/>
            </c:ext>
          </c:extLst>
        </c:ser>
        <c:ser>
          <c:idx val="1"/>
          <c:order val="1"/>
          <c:tx>
            <c:v>SD1</c:v>
          </c:tx>
          <c:spPr>
            <a:solidFill>
              <a:schemeClr val="bg1">
                <a:alpha val="5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2"/>
              <c:pt idx="0">
                <c:v>1</c:v>
              </c:pt>
              <c:pt idx="1">
                <c:v>1</c:v>
              </c:pt>
            </c:numLit>
          </c:val>
          <c:extLst>
            <c:ext xmlns:c16="http://schemas.microsoft.com/office/drawing/2014/chart" uri="{C3380CC4-5D6E-409C-BE32-E72D297353CC}">
              <c16:uniqueId val="{00000001-C025-C146-9B05-16EEF2FFA5B1}"/>
            </c:ext>
          </c:extLst>
        </c:ser>
        <c:ser>
          <c:idx val="2"/>
          <c:order val="2"/>
          <c:tx>
            <c:v>SDmax</c:v>
          </c:tx>
          <c:spPr>
            <a:solidFill>
              <a:schemeClr val="accent4">
                <a:lumMod val="60000"/>
                <a:lumOff val="40000"/>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2"/>
              <c:pt idx="0">
                <c:v>5</c:v>
              </c:pt>
              <c:pt idx="1">
                <c:v>5</c:v>
              </c:pt>
            </c:numLit>
          </c:val>
          <c:extLst>
            <c:ext xmlns:c16="http://schemas.microsoft.com/office/drawing/2014/chart" uri="{C3380CC4-5D6E-409C-BE32-E72D297353CC}">
              <c16:uniqueId val="{00000002-C025-C146-9B05-16EEF2FFA5B1}"/>
            </c:ext>
          </c:extLst>
        </c:ser>
        <c:ser>
          <c:idx val="3"/>
          <c:order val="3"/>
          <c:tx>
            <c:v>SDmin</c:v>
          </c:tx>
          <c:spPr>
            <a:solidFill>
              <a:schemeClr val="accent4">
                <a:lumMod val="60000"/>
                <a:lumOff val="40000"/>
                <a:alpha val="70000"/>
              </a:schemeClr>
            </a:solidFill>
            <a:ln w="12700"/>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2"/>
              <c:pt idx="0">
                <c:v>-5</c:v>
              </c:pt>
              <c:pt idx="1">
                <c:v>-5</c:v>
              </c:pt>
            </c:numLit>
          </c:val>
          <c:extLst>
            <c:ext xmlns:c16="http://schemas.microsoft.com/office/drawing/2014/chart" uri="{C3380CC4-5D6E-409C-BE32-E72D297353CC}">
              <c16:uniqueId val="{00000003-C025-C146-9B05-16EEF2FFA5B1}"/>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4"/>
          <c:tx>
            <c:strRef>
              <c:f>'Profile Summary and Figures'!$A$313</c:f>
              <c:strCache>
                <c:ptCount val="1"/>
                <c:pt idx="0">
                  <c:v>Emotion Regulation Questionnaire (ERQ)</c:v>
                </c:pt>
              </c:strCache>
            </c:strRef>
          </c:tx>
          <c:spPr>
            <a:ln>
              <a:solidFill>
                <a:schemeClr val="accent1"/>
              </a:solidFill>
            </a:ln>
          </c:spPr>
          <c:marker>
            <c:symbol val="circle"/>
            <c:size val="7"/>
            <c:spPr>
              <a:solidFill>
                <a:schemeClr val="accent1"/>
              </a:solidFill>
              <a:ln>
                <a:solidFill>
                  <a:schemeClr val="accent1">
                    <a:lumMod val="50000"/>
                  </a:schemeClr>
                </a:solidFill>
              </a:ln>
              <a:effectLst/>
            </c:spPr>
          </c:marker>
          <c:dPt>
            <c:idx val="0"/>
            <c:bubble3D val="0"/>
            <c:spPr>
              <a:ln w="28575">
                <a:solidFill>
                  <a:schemeClr val="accent1"/>
                </a:solidFill>
              </a:ln>
            </c:spPr>
            <c:extLst>
              <c:ext xmlns:c16="http://schemas.microsoft.com/office/drawing/2014/chart" uri="{C3380CC4-5D6E-409C-BE32-E72D297353CC}">
                <c16:uniqueId val="{00000005-C025-C146-9B05-16EEF2FFA5B1}"/>
              </c:ext>
            </c:extLst>
          </c:dPt>
          <c:cat>
            <c:strRef>
              <c:f>'Profile Summary and Figures'!$A$315:$A$316</c:f>
              <c:strCache>
                <c:ptCount val="2"/>
                <c:pt idx="0">
                  <c:v>Cognitive reappraisal</c:v>
                </c:pt>
                <c:pt idx="1">
                  <c:v>Expressive suppression</c:v>
                </c:pt>
              </c:strCache>
            </c:strRef>
          </c:cat>
          <c:val>
            <c:numRef>
              <c:f>'Profile Summary and Figures'!$D$315:$D$316</c:f>
              <c:numCache>
                <c:formatCode>0.000</c:formatCode>
                <c:ptCount val="2"/>
                <c:pt idx="0">
                  <c:v>0</c:v>
                </c:pt>
                <c:pt idx="1">
                  <c:v>0</c:v>
                </c:pt>
              </c:numCache>
            </c:numRef>
          </c:val>
          <c:smooth val="0"/>
          <c:extLst>
            <c:ext xmlns:c16="http://schemas.microsoft.com/office/drawing/2014/chart" uri="{C3380CC4-5D6E-409C-BE32-E72D297353CC}">
              <c16:uniqueId val="{00000006-C025-C146-9B05-16EEF2FFA5B1}"/>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0"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5"/>
          <c:min val="-5"/>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z-score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majorUnit val="1"/>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Figures'!$A$12</c:f>
          <c:strCache>
            <c:ptCount val="1"/>
            <c:pt idx="0">
              <c:v>Depression Anxiety Stress Scales-21 (DASS-21)</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clustered"/>
        <c:varyColors val="0"/>
        <c:ser>
          <c:idx val="2"/>
          <c:order val="0"/>
          <c:tx>
            <c:v>cut_max</c:v>
          </c:tx>
          <c:spPr>
            <a:solidFill>
              <a:schemeClr val="accent6">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3"/>
              <c:pt idx="0">
                <c:v>25</c:v>
              </c:pt>
              <c:pt idx="1">
                <c:v>25</c:v>
              </c:pt>
              <c:pt idx="2">
                <c:v>25</c:v>
              </c:pt>
            </c:numLit>
          </c:val>
          <c:extLst>
            <c:ext xmlns:c16="http://schemas.microsoft.com/office/drawing/2014/chart" uri="{C3380CC4-5D6E-409C-BE32-E72D297353CC}">
              <c16:uniqueId val="{00000000-7C9C-2D4B-9167-BE79D7D494BB}"/>
            </c:ext>
          </c:extLst>
        </c:ser>
        <c:ser>
          <c:idx val="5"/>
          <c:order val="1"/>
          <c:tx>
            <c:v>cut_severe</c:v>
          </c:tx>
          <c:spPr>
            <a:solidFill>
              <a:schemeClr val="accent5">
                <a:alpha val="7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3"/>
              <c:pt idx="0">
                <c:v>13</c:v>
              </c:pt>
              <c:pt idx="1">
                <c:v>9</c:v>
              </c:pt>
              <c:pt idx="2">
                <c:v>16</c:v>
              </c:pt>
            </c:numLit>
          </c:val>
          <c:extLst>
            <c:ext xmlns:c16="http://schemas.microsoft.com/office/drawing/2014/chart" uri="{C3380CC4-5D6E-409C-BE32-E72D297353CC}">
              <c16:uniqueId val="{00000001-7C9C-2D4B-9167-BE79D7D494BB}"/>
            </c:ext>
          </c:extLst>
        </c:ser>
        <c:ser>
          <c:idx val="3"/>
          <c:order val="2"/>
          <c:tx>
            <c:v>cut_moderate</c:v>
          </c:tx>
          <c:spPr>
            <a:solidFill>
              <a:schemeClr val="accent4">
                <a:lumMod val="60000"/>
                <a:lumOff val="40000"/>
                <a:alpha val="7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3"/>
              <c:pt idx="0">
                <c:v>10</c:v>
              </c:pt>
              <c:pt idx="1">
                <c:v>7</c:v>
              </c:pt>
              <c:pt idx="2">
                <c:v>12</c:v>
              </c:pt>
            </c:numLit>
          </c:val>
          <c:extLst>
            <c:ext xmlns:c16="http://schemas.microsoft.com/office/drawing/2014/chart" uri="{C3380CC4-5D6E-409C-BE32-E72D297353CC}">
              <c16:uniqueId val="{00000002-7C9C-2D4B-9167-BE79D7D494BB}"/>
            </c:ext>
          </c:extLst>
        </c:ser>
        <c:ser>
          <c:idx val="0"/>
          <c:order val="3"/>
          <c:tx>
            <c:v>cut_mild</c:v>
          </c:tx>
          <c:spPr>
            <a:solidFill>
              <a:schemeClr val="accent3">
                <a:lumMod val="60000"/>
                <a:lumOff val="40000"/>
                <a:alpha val="8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3"/>
              <c:pt idx="0">
                <c:v>6</c:v>
              </c:pt>
              <c:pt idx="1">
                <c:v>5</c:v>
              </c:pt>
              <c:pt idx="2">
                <c:v>9</c:v>
              </c:pt>
            </c:numLit>
          </c:val>
          <c:extLst>
            <c:ext xmlns:c16="http://schemas.microsoft.com/office/drawing/2014/chart" uri="{C3380CC4-5D6E-409C-BE32-E72D297353CC}">
              <c16:uniqueId val="{00000003-7C9C-2D4B-9167-BE79D7D494BB}"/>
            </c:ext>
          </c:extLst>
        </c:ser>
        <c:ser>
          <c:idx val="1"/>
          <c:order val="4"/>
          <c:tx>
            <c:v>cut_normal</c:v>
          </c:tx>
          <c:spPr>
            <a:solidFill>
              <a:schemeClr val="bg1">
                <a:alpha val="80000"/>
              </a:schemeClr>
            </a:solidFill>
            <a:ln w="1905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3"/>
              <c:pt idx="0">
                <c:v>4</c:v>
              </c:pt>
              <c:pt idx="1">
                <c:v>3</c:v>
              </c:pt>
              <c:pt idx="2">
                <c:v>7</c:v>
              </c:pt>
            </c:numLit>
          </c:val>
          <c:extLst>
            <c:ext xmlns:c16="http://schemas.microsoft.com/office/drawing/2014/chart" uri="{C3380CC4-5D6E-409C-BE32-E72D297353CC}">
              <c16:uniqueId val="{00000004-7C9C-2D4B-9167-BE79D7D494BB}"/>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5"/>
          <c:tx>
            <c:strRef>
              <c:f>'Profile Summary and Figures'!$A$12</c:f>
              <c:strCache>
                <c:ptCount val="1"/>
                <c:pt idx="0">
                  <c:v>Depression Anxiety Stress Scales-21 (DASS-21)</c:v>
                </c:pt>
              </c:strCache>
            </c:strRef>
          </c:tx>
          <c:spPr>
            <a:ln w="19050">
              <a:solidFill>
                <a:schemeClr val="accent1"/>
              </a:solidFill>
            </a:ln>
          </c:spPr>
          <c:marker>
            <c:symbol val="circle"/>
            <c:size val="7"/>
            <c:spPr>
              <a:solidFill>
                <a:schemeClr val="accent1"/>
              </a:solidFill>
              <a:ln>
                <a:solidFill>
                  <a:schemeClr val="accent1">
                    <a:lumMod val="50000"/>
                  </a:schemeClr>
                </a:solidFill>
              </a:ln>
            </c:spPr>
          </c:marker>
          <c:cat>
            <c:strRef>
              <c:f>'Profile Summary and Figures'!$A$14:$A$16</c:f>
              <c:strCache>
                <c:ptCount val="3"/>
                <c:pt idx="0">
                  <c:v>Depression</c:v>
                </c:pt>
                <c:pt idx="1">
                  <c:v>Anxiety</c:v>
                </c:pt>
                <c:pt idx="2">
                  <c:v>Stress</c:v>
                </c:pt>
              </c:strCache>
            </c:strRef>
          </c:cat>
          <c:val>
            <c:numRef>
              <c:f>'Profile Summary and Figures'!$C$14:$C$16</c:f>
              <c:numCache>
                <c:formatCode>General</c:formatCode>
                <c:ptCount val="3"/>
                <c:pt idx="0">
                  <c:v>0</c:v>
                </c:pt>
                <c:pt idx="1">
                  <c:v>0</c:v>
                </c:pt>
                <c:pt idx="2">
                  <c:v>0</c:v>
                </c:pt>
              </c:numCache>
            </c:numRef>
          </c:val>
          <c:smooth val="0"/>
          <c:extLst>
            <c:ext xmlns:c16="http://schemas.microsoft.com/office/drawing/2014/chart" uri="{C3380CC4-5D6E-409C-BE32-E72D297353CC}">
              <c16:uniqueId val="{00000005-7C9C-2D4B-9167-BE79D7D494BB}"/>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0"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22"/>
          <c:min val="0"/>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Figures'!$A$125</c:f>
          <c:strCache>
            <c:ptCount val="1"/>
            <c:pt idx="0">
              <c:v>DSM-5 Self-Rated Level 1 Cross-Cutting Symptom Measure (DSM-5)</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clustered"/>
        <c:varyColors val="0"/>
        <c:ser>
          <c:idx val="6"/>
          <c:order val="0"/>
          <c:tx>
            <c:v>cut_max</c:v>
          </c:tx>
          <c:spPr>
            <a:solidFill>
              <a:schemeClr val="accent6">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3"/>
              <c:pt idx="0">
                <c:v>4.5</c:v>
              </c:pt>
              <c:pt idx="1">
                <c:v>4.5</c:v>
              </c:pt>
              <c:pt idx="2">
                <c:v>4.5</c:v>
              </c:pt>
              <c:pt idx="3">
                <c:v>4.5</c:v>
              </c:pt>
              <c:pt idx="4">
                <c:v>4.5</c:v>
              </c:pt>
              <c:pt idx="5">
                <c:v>4.5</c:v>
              </c:pt>
              <c:pt idx="6">
                <c:v>4.5</c:v>
              </c:pt>
              <c:pt idx="7">
                <c:v>4.5</c:v>
              </c:pt>
              <c:pt idx="8">
                <c:v>4.5</c:v>
              </c:pt>
              <c:pt idx="9">
                <c:v>4.5</c:v>
              </c:pt>
              <c:pt idx="10">
                <c:v>4.5</c:v>
              </c:pt>
              <c:pt idx="11">
                <c:v>4.5</c:v>
              </c:pt>
              <c:pt idx="12">
                <c:v>4.5</c:v>
              </c:pt>
            </c:numLit>
          </c:val>
          <c:extLst>
            <c:ext xmlns:c16="http://schemas.microsoft.com/office/drawing/2014/chart" uri="{C3380CC4-5D6E-409C-BE32-E72D297353CC}">
              <c16:uniqueId val="{0000000C-CDA2-D845-A85C-F015CDA7FFD1}"/>
            </c:ext>
          </c:extLst>
        </c:ser>
        <c:ser>
          <c:idx val="7"/>
          <c:order val="1"/>
          <c:tx>
            <c:v>cut_moderate</c:v>
          </c:tx>
          <c:spPr>
            <a:solidFill>
              <a:schemeClr val="accent5">
                <a:alpha val="7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3"/>
              <c:pt idx="0">
                <c:v>3.5</c:v>
              </c:pt>
              <c:pt idx="1">
                <c:v>3.5</c:v>
              </c:pt>
              <c:pt idx="2">
                <c:v>3.5</c:v>
              </c:pt>
              <c:pt idx="3">
                <c:v>3.5</c:v>
              </c:pt>
              <c:pt idx="4">
                <c:v>3.5</c:v>
              </c:pt>
              <c:pt idx="5">
                <c:v>3.5</c:v>
              </c:pt>
              <c:pt idx="6">
                <c:v>3.5</c:v>
              </c:pt>
              <c:pt idx="7">
                <c:v>3.5</c:v>
              </c:pt>
              <c:pt idx="8">
                <c:v>3.5</c:v>
              </c:pt>
              <c:pt idx="9">
                <c:v>3.5</c:v>
              </c:pt>
              <c:pt idx="10">
                <c:v>3.5</c:v>
              </c:pt>
              <c:pt idx="11">
                <c:v>3.5</c:v>
              </c:pt>
              <c:pt idx="12">
                <c:v>3.5</c:v>
              </c:pt>
            </c:numLit>
          </c:val>
          <c:extLst>
            <c:ext xmlns:c16="http://schemas.microsoft.com/office/drawing/2014/chart" uri="{C3380CC4-5D6E-409C-BE32-E72D297353CC}">
              <c16:uniqueId val="{0000000D-CDA2-D845-A85C-F015CDA7FFD1}"/>
            </c:ext>
          </c:extLst>
        </c:ser>
        <c:ser>
          <c:idx val="8"/>
          <c:order val="2"/>
          <c:tx>
            <c:v>cut_mild</c:v>
          </c:tx>
          <c:spPr>
            <a:solidFill>
              <a:schemeClr val="accent4">
                <a:lumMod val="60000"/>
                <a:lumOff val="40000"/>
                <a:alpha val="7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3"/>
              <c:pt idx="0">
                <c:v>2.5</c:v>
              </c:pt>
              <c:pt idx="1">
                <c:v>2.5</c:v>
              </c:pt>
              <c:pt idx="2">
                <c:v>2.5</c:v>
              </c:pt>
              <c:pt idx="3">
                <c:v>2.5</c:v>
              </c:pt>
              <c:pt idx="4">
                <c:v>2.5</c:v>
              </c:pt>
              <c:pt idx="5">
                <c:v>2.5</c:v>
              </c:pt>
              <c:pt idx="6">
                <c:v>2.5</c:v>
              </c:pt>
              <c:pt idx="7">
                <c:v>2.5</c:v>
              </c:pt>
              <c:pt idx="8">
                <c:v>2.5</c:v>
              </c:pt>
              <c:pt idx="9">
                <c:v>2.5</c:v>
              </c:pt>
              <c:pt idx="10">
                <c:v>2.5</c:v>
              </c:pt>
              <c:pt idx="11">
                <c:v>2.5</c:v>
              </c:pt>
              <c:pt idx="12">
                <c:v>2.5</c:v>
              </c:pt>
            </c:numLit>
          </c:val>
          <c:extLst>
            <c:ext xmlns:c16="http://schemas.microsoft.com/office/drawing/2014/chart" uri="{C3380CC4-5D6E-409C-BE32-E72D297353CC}">
              <c16:uniqueId val="{0000000E-CDA2-D845-A85C-F015CDA7FFD1}"/>
            </c:ext>
          </c:extLst>
        </c:ser>
        <c:ser>
          <c:idx val="9"/>
          <c:order val="3"/>
          <c:tx>
            <c:v>cut_slight</c:v>
          </c:tx>
          <c:spPr>
            <a:solidFill>
              <a:schemeClr val="accent3">
                <a:lumMod val="60000"/>
                <a:lumOff val="40000"/>
                <a:alpha val="8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3"/>
              <c:pt idx="0">
                <c:v>1.5</c:v>
              </c:pt>
              <c:pt idx="1">
                <c:v>1.5</c:v>
              </c:pt>
              <c:pt idx="2">
                <c:v>1.5</c:v>
              </c:pt>
              <c:pt idx="3">
                <c:v>1.5</c:v>
              </c:pt>
              <c:pt idx="4">
                <c:v>1.5</c:v>
              </c:pt>
              <c:pt idx="5">
                <c:v>1.5</c:v>
              </c:pt>
              <c:pt idx="6">
                <c:v>1.5</c:v>
              </c:pt>
              <c:pt idx="7">
                <c:v>1.5</c:v>
              </c:pt>
              <c:pt idx="8">
                <c:v>1.5</c:v>
              </c:pt>
              <c:pt idx="9">
                <c:v>1.5</c:v>
              </c:pt>
              <c:pt idx="10">
                <c:v>1.5</c:v>
              </c:pt>
              <c:pt idx="11">
                <c:v>1.5</c:v>
              </c:pt>
              <c:pt idx="12">
                <c:v>1.5</c:v>
              </c:pt>
            </c:numLit>
          </c:val>
          <c:extLst>
            <c:ext xmlns:c16="http://schemas.microsoft.com/office/drawing/2014/chart" uri="{C3380CC4-5D6E-409C-BE32-E72D297353CC}">
              <c16:uniqueId val="{0000000F-CDA2-D845-A85C-F015CDA7FFD1}"/>
            </c:ext>
          </c:extLst>
        </c:ser>
        <c:ser>
          <c:idx val="1"/>
          <c:order val="4"/>
          <c:tx>
            <c:v>cut_none</c:v>
          </c:tx>
          <c:spPr>
            <a:solidFill>
              <a:schemeClr val="bg1">
                <a:alpha val="80000"/>
              </a:schemeClr>
            </a:solidFill>
            <a:ln w="1905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3"/>
              <c:pt idx="0">
                <c:v>0.5</c:v>
              </c:pt>
              <c:pt idx="1">
                <c:v>0.5</c:v>
              </c:pt>
              <c:pt idx="2">
                <c:v>0.5</c:v>
              </c:pt>
              <c:pt idx="3">
                <c:v>0.5</c:v>
              </c:pt>
              <c:pt idx="4">
                <c:v>0.5</c:v>
              </c:pt>
              <c:pt idx="5">
                <c:v>0.5</c:v>
              </c:pt>
              <c:pt idx="6">
                <c:v>0.5</c:v>
              </c:pt>
              <c:pt idx="7">
                <c:v>0.5</c:v>
              </c:pt>
              <c:pt idx="8">
                <c:v>0.5</c:v>
              </c:pt>
              <c:pt idx="9">
                <c:v>0.5</c:v>
              </c:pt>
              <c:pt idx="10">
                <c:v>0.5</c:v>
              </c:pt>
              <c:pt idx="11">
                <c:v>0.5</c:v>
              </c:pt>
              <c:pt idx="12">
                <c:v>0.5</c:v>
              </c:pt>
            </c:numLit>
          </c:val>
          <c:extLst>
            <c:ext xmlns:c16="http://schemas.microsoft.com/office/drawing/2014/chart" uri="{C3380CC4-5D6E-409C-BE32-E72D297353CC}">
              <c16:uniqueId val="{00000009-CDA2-D845-A85C-F015CDA7FFD1}"/>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5"/>
          <c:tx>
            <c:strRef>
              <c:f>'Profile Summary and Figures'!$A$125</c:f>
              <c:strCache>
                <c:ptCount val="1"/>
                <c:pt idx="0">
                  <c:v>DSM-5 Self-Rated Level 1 Cross-Cutting Symptom Measure (DSM-5)</c:v>
                </c:pt>
              </c:strCache>
            </c:strRef>
          </c:tx>
          <c:spPr>
            <a:ln>
              <a:solidFill>
                <a:schemeClr val="accent1"/>
              </a:solidFill>
            </a:ln>
          </c:spPr>
          <c:marker>
            <c:symbol val="circle"/>
            <c:size val="7"/>
            <c:spPr>
              <a:solidFill>
                <a:schemeClr val="accent1"/>
              </a:solidFill>
              <a:ln>
                <a:solidFill>
                  <a:schemeClr val="accent1">
                    <a:lumMod val="50000"/>
                  </a:schemeClr>
                </a:solidFill>
              </a:ln>
            </c:spPr>
          </c:marker>
          <c:cat>
            <c:strRef>
              <c:f>'Profile Summary and Figures'!$A$127:$A$139</c:f>
              <c:strCache>
                <c:ptCount val="13"/>
                <c:pt idx="0">
                  <c:v>Depression</c:v>
                </c:pt>
                <c:pt idx="1">
                  <c:v>Anger</c:v>
                </c:pt>
                <c:pt idx="2">
                  <c:v>Mania</c:v>
                </c:pt>
                <c:pt idx="3">
                  <c:v>Anxiety</c:v>
                </c:pt>
                <c:pt idx="4">
                  <c:v>Somatic symptoms</c:v>
                </c:pt>
                <c:pt idx="5">
                  <c:v>Suicidal ideation</c:v>
                </c:pt>
                <c:pt idx="6">
                  <c:v>Psychosis</c:v>
                </c:pt>
                <c:pt idx="7">
                  <c:v>Sleep problems</c:v>
                </c:pt>
                <c:pt idx="8">
                  <c:v>Memory</c:v>
                </c:pt>
                <c:pt idx="9">
                  <c:v>Repetitive thoughts &amp; behaviours</c:v>
                </c:pt>
                <c:pt idx="10">
                  <c:v>Dissociation</c:v>
                </c:pt>
                <c:pt idx="11">
                  <c:v>Personality functioning</c:v>
                </c:pt>
                <c:pt idx="12">
                  <c:v>Substance use</c:v>
                </c:pt>
              </c:strCache>
            </c:strRef>
          </c:cat>
          <c:val>
            <c:numRef>
              <c:f>'Profile Summary and Figures'!$C$127:$C$139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B-CDA2-D845-A85C-F015CDA7FFD1}"/>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gradFill>
                <a:gsLst>
                  <a:gs pos="86000">
                    <a:schemeClr val="bg2"/>
                  </a:gs>
                  <a:gs pos="63000">
                    <a:schemeClr val="bg2"/>
                  </a:gs>
                  <a:gs pos="87000">
                    <a:schemeClr val="bg2">
                      <a:lumMod val="40000"/>
                      <a:lumOff val="60000"/>
                    </a:schemeClr>
                  </a:gs>
                  <a:gs pos="62000">
                    <a:schemeClr val="tx1"/>
                  </a:gs>
                </a:gsLst>
                <a:lin ang="16200000" scaled="0"/>
              </a:gra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0" i="0" u="none" strike="noStrike" kern="1200" baseline="0">
                <a:ln>
                  <a:noFill/>
                </a:ln>
                <a:solidFill>
                  <a:schemeClr val="bg2">
                    <a:lumMod val="75000"/>
                  </a:schemeClr>
                </a:solidFill>
                <a:latin typeface="+mn-lt"/>
                <a:ea typeface="+mn-ea"/>
                <a:cs typeface="+mn-cs"/>
              </a:defRPr>
            </a:pPr>
            <a:endParaRPr lang="en-US"/>
          </a:p>
        </c:txPr>
        <c:crossAx val="1970953087"/>
        <c:crossesAt val="0"/>
        <c:auto val="1"/>
        <c:lblAlgn val="ctr"/>
        <c:lblOffset val="0"/>
        <c:noMultiLvlLbl val="0"/>
      </c:catAx>
      <c:valAx>
        <c:axId val="1970953087"/>
        <c:scaling>
          <c:orientation val="minMax"/>
          <c:max val="4"/>
          <c:min val="0"/>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majorUnit val="1"/>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Figures'!$A$45</c:f>
          <c:strCache>
            <c:ptCount val="1"/>
            <c:pt idx="0">
              <c:v>Kessler Psychological Distress Scale (K10)</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clustered"/>
        <c:varyColors val="0"/>
        <c:ser>
          <c:idx val="5"/>
          <c:order val="0"/>
          <c:tx>
            <c:v>cut_veryhigh</c:v>
          </c:tx>
          <c:spPr>
            <a:solidFill>
              <a:schemeClr val="accent6">
                <a:alpha val="80000"/>
              </a:schemeClr>
            </a:solidFill>
            <a:ln w="12700" cap="rnd">
              <a:noFill/>
              <a:round/>
            </a:ln>
            <a:effectLst/>
          </c:spPr>
          <c:invertIfNegative val="0"/>
          <c:dPt>
            <c:idx val="0"/>
            <c:invertIfNegative val="0"/>
            <c:bubble3D val="0"/>
            <c:spPr>
              <a:solidFill>
                <a:schemeClr val="accent6">
                  <a:alpha val="70000"/>
                </a:schemeClr>
              </a:solidFill>
              <a:ln w="12700" cap="rnd">
                <a:noFill/>
                <a:round/>
              </a:ln>
              <a:effectLst/>
            </c:spPr>
            <c:extLst>
              <c:ext xmlns:c16="http://schemas.microsoft.com/office/drawing/2014/chart" uri="{C3380CC4-5D6E-409C-BE32-E72D297353CC}">
                <c16:uniqueId val="{00000000-8809-AA48-B8D5-DDC576CD9718}"/>
              </c:ext>
            </c:extLst>
          </c:dPt>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50</c:v>
              </c:pt>
            </c:numLit>
          </c:val>
          <c:extLst>
            <c:ext xmlns:c16="http://schemas.microsoft.com/office/drawing/2014/chart" uri="{C3380CC4-5D6E-409C-BE32-E72D297353CC}">
              <c16:uniqueId val="{00000000-6205-F24A-91A8-C212A0D5C140}"/>
            </c:ext>
          </c:extLst>
        </c:ser>
        <c:ser>
          <c:idx val="3"/>
          <c:order val="1"/>
          <c:tx>
            <c:v>cut_high</c:v>
          </c:tx>
          <c:spPr>
            <a:solidFill>
              <a:schemeClr val="accent5">
                <a:alpha val="7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29</c:v>
              </c:pt>
            </c:numLit>
          </c:val>
          <c:extLst>
            <c:ext xmlns:c16="http://schemas.microsoft.com/office/drawing/2014/chart" uri="{C3380CC4-5D6E-409C-BE32-E72D297353CC}">
              <c16:uniqueId val="{00000001-6205-F24A-91A8-C212A0D5C140}"/>
            </c:ext>
          </c:extLst>
        </c:ser>
        <c:ser>
          <c:idx val="0"/>
          <c:order val="2"/>
          <c:tx>
            <c:v>cut_moderate</c:v>
          </c:tx>
          <c:spPr>
            <a:solidFill>
              <a:schemeClr val="accent4">
                <a:lumMod val="60000"/>
                <a:lumOff val="40000"/>
                <a:alpha val="7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21</c:v>
              </c:pt>
            </c:numLit>
          </c:val>
          <c:extLst>
            <c:ext xmlns:c16="http://schemas.microsoft.com/office/drawing/2014/chart" uri="{C3380CC4-5D6E-409C-BE32-E72D297353CC}">
              <c16:uniqueId val="{00000002-6205-F24A-91A8-C212A0D5C140}"/>
            </c:ext>
          </c:extLst>
        </c:ser>
        <c:ser>
          <c:idx val="1"/>
          <c:order val="3"/>
          <c:tx>
            <c:v>cut_low</c:v>
          </c:tx>
          <c:spPr>
            <a:solidFill>
              <a:schemeClr val="accent3">
                <a:lumMod val="60000"/>
                <a:lumOff val="40000"/>
                <a:alpha val="80000"/>
              </a:schemeClr>
            </a:solidFill>
            <a:ln w="1905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15</c:v>
              </c:pt>
            </c:numLit>
          </c:val>
          <c:extLst>
            <c:ext xmlns:c16="http://schemas.microsoft.com/office/drawing/2014/chart" uri="{C3380CC4-5D6E-409C-BE32-E72D297353CC}">
              <c16:uniqueId val="{00000003-6205-F24A-91A8-C212A0D5C140}"/>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4"/>
          <c:tx>
            <c:strRef>
              <c:f>'Profile Summary and Figures'!$A$45</c:f>
              <c:strCache>
                <c:ptCount val="1"/>
                <c:pt idx="0">
                  <c:v>Kessler Psychological Distress Scale (K10)</c:v>
                </c:pt>
              </c:strCache>
            </c:strRef>
          </c:tx>
          <c:marker>
            <c:symbol val="circle"/>
            <c:size val="7"/>
            <c:spPr>
              <a:solidFill>
                <a:schemeClr val="accent1"/>
              </a:solidFill>
              <a:ln>
                <a:solidFill>
                  <a:schemeClr val="accent1">
                    <a:lumMod val="50000"/>
                  </a:schemeClr>
                </a:solidFill>
              </a:ln>
            </c:spPr>
          </c:marker>
          <c:cat>
            <c:strRef>
              <c:f>'Profile Summary and Figures'!$A$47</c:f>
              <c:strCache>
                <c:ptCount val="1"/>
                <c:pt idx="0">
                  <c:v>Total</c:v>
                </c:pt>
              </c:strCache>
            </c:strRef>
          </c:cat>
          <c:val>
            <c:numRef>
              <c:f>'Profile Summary and Figures'!$C$47</c:f>
              <c:numCache>
                <c:formatCode>General</c:formatCode>
                <c:ptCount val="1"/>
                <c:pt idx="0">
                  <c:v>0</c:v>
                </c:pt>
              </c:numCache>
            </c:numRef>
          </c:val>
          <c:smooth val="0"/>
          <c:extLst>
            <c:ext xmlns:c16="http://schemas.microsoft.com/office/drawing/2014/chart" uri="{C3380CC4-5D6E-409C-BE32-E72D297353CC}">
              <c16:uniqueId val="{00000004-6205-F24A-91A8-C212A0D5C140}"/>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1"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50"/>
          <c:min val="10"/>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Figures'!$A$61</c:f>
          <c:strCache>
            <c:ptCount val="1"/>
            <c:pt idx="0">
              <c:v>Generalised Anxiety Disorder Assessment (GAD-7)</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clustered"/>
        <c:varyColors val="0"/>
        <c:ser>
          <c:idx val="5"/>
          <c:order val="0"/>
          <c:tx>
            <c:v>cut_veryhigh</c:v>
          </c:tx>
          <c:spPr>
            <a:solidFill>
              <a:schemeClr val="accent6">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21</c:v>
              </c:pt>
            </c:numLit>
          </c:val>
          <c:extLst>
            <c:ext xmlns:c16="http://schemas.microsoft.com/office/drawing/2014/chart" uri="{C3380CC4-5D6E-409C-BE32-E72D297353CC}">
              <c16:uniqueId val="{00000000-9538-7743-A6C1-19ADDB3C44F3}"/>
            </c:ext>
          </c:extLst>
        </c:ser>
        <c:ser>
          <c:idx val="3"/>
          <c:order val="1"/>
          <c:tx>
            <c:v>cut_high</c:v>
          </c:tx>
          <c:spPr>
            <a:solidFill>
              <a:schemeClr val="accent5">
                <a:alpha val="7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14</c:v>
              </c:pt>
            </c:numLit>
          </c:val>
          <c:extLst>
            <c:ext xmlns:c16="http://schemas.microsoft.com/office/drawing/2014/chart" uri="{C3380CC4-5D6E-409C-BE32-E72D297353CC}">
              <c16:uniqueId val="{00000001-9538-7743-A6C1-19ADDB3C44F3}"/>
            </c:ext>
          </c:extLst>
        </c:ser>
        <c:ser>
          <c:idx val="0"/>
          <c:order val="2"/>
          <c:tx>
            <c:v>cut_moderate</c:v>
          </c:tx>
          <c:spPr>
            <a:solidFill>
              <a:schemeClr val="accent4">
                <a:lumMod val="60000"/>
                <a:lumOff val="40000"/>
                <a:alpha val="7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9</c:v>
              </c:pt>
            </c:numLit>
          </c:val>
          <c:extLst>
            <c:ext xmlns:c16="http://schemas.microsoft.com/office/drawing/2014/chart" uri="{C3380CC4-5D6E-409C-BE32-E72D297353CC}">
              <c16:uniqueId val="{00000002-9538-7743-A6C1-19ADDB3C44F3}"/>
            </c:ext>
          </c:extLst>
        </c:ser>
        <c:ser>
          <c:idx val="1"/>
          <c:order val="3"/>
          <c:tx>
            <c:v>cut_minimal</c:v>
          </c:tx>
          <c:spPr>
            <a:solidFill>
              <a:schemeClr val="accent3">
                <a:lumMod val="60000"/>
                <a:lumOff val="40000"/>
                <a:alpha val="80000"/>
              </a:schemeClr>
            </a:solidFill>
            <a:ln w="1905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4</c:v>
              </c:pt>
            </c:numLit>
          </c:val>
          <c:extLst>
            <c:ext xmlns:c16="http://schemas.microsoft.com/office/drawing/2014/chart" uri="{C3380CC4-5D6E-409C-BE32-E72D297353CC}">
              <c16:uniqueId val="{00000003-9538-7743-A6C1-19ADDB3C44F3}"/>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4"/>
          <c:tx>
            <c:strRef>
              <c:f>'Profile Summary and Figures'!$A$61</c:f>
              <c:strCache>
                <c:ptCount val="1"/>
                <c:pt idx="0">
                  <c:v>Generalised Anxiety Disorder Assessment (GAD-7)</c:v>
                </c:pt>
              </c:strCache>
            </c:strRef>
          </c:tx>
          <c:marker>
            <c:symbol val="circle"/>
            <c:size val="7"/>
            <c:spPr>
              <a:solidFill>
                <a:schemeClr val="accent1"/>
              </a:solidFill>
              <a:ln>
                <a:solidFill>
                  <a:schemeClr val="accent1">
                    <a:lumMod val="50000"/>
                  </a:schemeClr>
                </a:solidFill>
              </a:ln>
            </c:spPr>
          </c:marker>
          <c:cat>
            <c:strRef>
              <c:f>'Profile Summary and Figures'!$A$63</c:f>
              <c:strCache>
                <c:ptCount val="1"/>
                <c:pt idx="0">
                  <c:v>Total</c:v>
                </c:pt>
              </c:strCache>
            </c:strRef>
          </c:cat>
          <c:val>
            <c:numRef>
              <c:f>'Profile Summary and Figures'!$C$63</c:f>
              <c:numCache>
                <c:formatCode>General</c:formatCode>
                <c:ptCount val="1"/>
                <c:pt idx="0">
                  <c:v>0</c:v>
                </c:pt>
              </c:numCache>
            </c:numRef>
          </c:val>
          <c:smooth val="0"/>
          <c:extLst>
            <c:ext xmlns:c16="http://schemas.microsoft.com/office/drawing/2014/chart" uri="{C3380CC4-5D6E-409C-BE32-E72D297353CC}">
              <c16:uniqueId val="{00000004-9538-7743-A6C1-19ADDB3C44F3}"/>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1"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21"/>
          <c:min val="0"/>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Figures'!$A$77</c:f>
          <c:strCache>
            <c:ptCount val="1"/>
            <c:pt idx="0">
              <c:v>Patient Health Questionnaire (PHQ-9)</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clustered"/>
        <c:varyColors val="0"/>
        <c:ser>
          <c:idx val="5"/>
          <c:order val="0"/>
          <c:tx>
            <c:v>cut_severe</c:v>
          </c:tx>
          <c:spPr>
            <a:solidFill>
              <a:schemeClr val="accent6">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27</c:v>
              </c:pt>
            </c:numLit>
          </c:val>
          <c:extLst>
            <c:ext xmlns:c16="http://schemas.microsoft.com/office/drawing/2014/chart" uri="{C3380CC4-5D6E-409C-BE32-E72D297353CC}">
              <c16:uniqueId val="{00000000-1D1E-244D-9569-B9A149B8429C}"/>
            </c:ext>
          </c:extLst>
        </c:ser>
        <c:ser>
          <c:idx val="3"/>
          <c:order val="1"/>
          <c:tx>
            <c:v>cut_moderatelysevere</c:v>
          </c:tx>
          <c:spPr>
            <a:solidFill>
              <a:schemeClr val="accent5">
                <a:alpha val="7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19</c:v>
              </c:pt>
            </c:numLit>
          </c:val>
          <c:extLst>
            <c:ext xmlns:c16="http://schemas.microsoft.com/office/drawing/2014/chart" uri="{C3380CC4-5D6E-409C-BE32-E72D297353CC}">
              <c16:uniqueId val="{00000001-1D1E-244D-9569-B9A149B8429C}"/>
            </c:ext>
          </c:extLst>
        </c:ser>
        <c:ser>
          <c:idx val="0"/>
          <c:order val="2"/>
          <c:tx>
            <c:v>cut_moderate</c:v>
          </c:tx>
          <c:spPr>
            <a:solidFill>
              <a:schemeClr val="accent4">
                <a:lumMod val="60000"/>
                <a:lumOff val="40000"/>
                <a:alpha val="7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14</c:v>
              </c:pt>
            </c:numLit>
          </c:val>
          <c:extLst>
            <c:ext xmlns:c16="http://schemas.microsoft.com/office/drawing/2014/chart" uri="{C3380CC4-5D6E-409C-BE32-E72D297353CC}">
              <c16:uniqueId val="{00000002-1D1E-244D-9569-B9A149B8429C}"/>
            </c:ext>
          </c:extLst>
        </c:ser>
        <c:ser>
          <c:idx val="2"/>
          <c:order val="3"/>
          <c:tx>
            <c:v>cut_mild</c:v>
          </c:tx>
          <c:spPr>
            <a:solidFill>
              <a:schemeClr val="accent3">
                <a:lumMod val="60000"/>
                <a:lumOff val="40000"/>
                <a:alpha val="80000"/>
              </a:schemeClr>
            </a:solidFill>
          </c:spPr>
          <c:invertIfNegative val="0"/>
          <c:val>
            <c:numLit>
              <c:formatCode>General</c:formatCode>
              <c:ptCount val="1"/>
              <c:pt idx="0">
                <c:v>9</c:v>
              </c:pt>
            </c:numLit>
          </c:val>
          <c:extLst>
            <c:ext xmlns:c16="http://schemas.microsoft.com/office/drawing/2014/chart" uri="{C3380CC4-5D6E-409C-BE32-E72D297353CC}">
              <c16:uniqueId val="{00000003-1D1E-244D-9569-B9A149B8429C}"/>
            </c:ext>
          </c:extLst>
        </c:ser>
        <c:ser>
          <c:idx val="1"/>
          <c:order val="4"/>
          <c:tx>
            <c:v>cut_none</c:v>
          </c:tx>
          <c:spPr>
            <a:solidFill>
              <a:schemeClr val="bg1">
                <a:alpha val="80000"/>
              </a:schemeClr>
            </a:solidFill>
            <a:ln w="1905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4</c:v>
              </c:pt>
            </c:numLit>
          </c:val>
          <c:extLst>
            <c:ext xmlns:c16="http://schemas.microsoft.com/office/drawing/2014/chart" uri="{C3380CC4-5D6E-409C-BE32-E72D297353CC}">
              <c16:uniqueId val="{00000004-1D1E-244D-9569-B9A149B8429C}"/>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5"/>
          <c:tx>
            <c:strRef>
              <c:f>'Profile Summary and Figures'!$A$77</c:f>
              <c:strCache>
                <c:ptCount val="1"/>
                <c:pt idx="0">
                  <c:v>Patient Health Questionnaire (PHQ-9)</c:v>
                </c:pt>
              </c:strCache>
            </c:strRef>
          </c:tx>
          <c:marker>
            <c:symbol val="circle"/>
            <c:size val="7"/>
            <c:spPr>
              <a:solidFill>
                <a:schemeClr val="accent1"/>
              </a:solidFill>
              <a:ln>
                <a:solidFill>
                  <a:schemeClr val="accent1">
                    <a:lumMod val="50000"/>
                  </a:schemeClr>
                </a:solidFill>
              </a:ln>
            </c:spPr>
          </c:marker>
          <c:cat>
            <c:strRef>
              <c:f>'Profile Summary and Figures'!$A$79</c:f>
              <c:strCache>
                <c:ptCount val="1"/>
                <c:pt idx="0">
                  <c:v>Total</c:v>
                </c:pt>
              </c:strCache>
            </c:strRef>
          </c:cat>
          <c:val>
            <c:numRef>
              <c:f>'Profile Summary and Figures'!$C$79</c:f>
              <c:numCache>
                <c:formatCode>General</c:formatCode>
                <c:ptCount val="1"/>
                <c:pt idx="0">
                  <c:v>0</c:v>
                </c:pt>
              </c:numCache>
            </c:numRef>
          </c:val>
          <c:smooth val="0"/>
          <c:extLst>
            <c:ext xmlns:c16="http://schemas.microsoft.com/office/drawing/2014/chart" uri="{C3380CC4-5D6E-409C-BE32-E72D297353CC}">
              <c16:uniqueId val="{00000005-1D1E-244D-9569-B9A149B8429C}"/>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1"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27"/>
          <c:min val="0"/>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Figures'!$A$192</c:f>
          <c:strCache>
            <c:ptCount val="1"/>
            <c:pt idx="0">
              <c:v>Alcohol Use Disorders Identification Test (AUDIT)</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clustered"/>
        <c:varyColors val="0"/>
        <c:ser>
          <c:idx val="5"/>
          <c:order val="0"/>
          <c:tx>
            <c:v>cut_veryhigh</c:v>
          </c:tx>
          <c:spPr>
            <a:solidFill>
              <a:schemeClr val="accent6">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40</c:v>
              </c:pt>
            </c:numLit>
          </c:val>
          <c:extLst>
            <c:ext xmlns:c16="http://schemas.microsoft.com/office/drawing/2014/chart" uri="{C3380CC4-5D6E-409C-BE32-E72D297353CC}">
              <c16:uniqueId val="{00000000-61CA-9447-B874-D54659D4840B}"/>
            </c:ext>
          </c:extLst>
        </c:ser>
        <c:ser>
          <c:idx val="3"/>
          <c:order val="1"/>
          <c:tx>
            <c:v>cut_high</c:v>
          </c:tx>
          <c:spPr>
            <a:solidFill>
              <a:schemeClr val="accent5">
                <a:alpha val="7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19</c:v>
              </c:pt>
            </c:numLit>
          </c:val>
          <c:extLst>
            <c:ext xmlns:c16="http://schemas.microsoft.com/office/drawing/2014/chart" uri="{C3380CC4-5D6E-409C-BE32-E72D297353CC}">
              <c16:uniqueId val="{00000001-61CA-9447-B874-D54659D4840B}"/>
            </c:ext>
          </c:extLst>
        </c:ser>
        <c:ser>
          <c:idx val="0"/>
          <c:order val="2"/>
          <c:tx>
            <c:v>cut_moderate</c:v>
          </c:tx>
          <c:spPr>
            <a:solidFill>
              <a:schemeClr val="accent4">
                <a:lumMod val="60000"/>
                <a:lumOff val="40000"/>
                <a:alpha val="7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15</c:v>
              </c:pt>
            </c:numLit>
          </c:val>
          <c:extLst>
            <c:ext xmlns:c16="http://schemas.microsoft.com/office/drawing/2014/chart" uri="{C3380CC4-5D6E-409C-BE32-E72D297353CC}">
              <c16:uniqueId val="{00000002-61CA-9447-B874-D54659D4840B}"/>
            </c:ext>
          </c:extLst>
        </c:ser>
        <c:ser>
          <c:idx val="1"/>
          <c:order val="3"/>
          <c:tx>
            <c:v>cut_low</c:v>
          </c:tx>
          <c:spPr>
            <a:solidFill>
              <a:schemeClr val="accent3">
                <a:lumMod val="60000"/>
                <a:lumOff val="40000"/>
                <a:alpha val="80000"/>
              </a:schemeClr>
            </a:solidFill>
            <a:ln w="1905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7</c:v>
              </c:pt>
            </c:numLit>
          </c:val>
          <c:extLst>
            <c:ext xmlns:c16="http://schemas.microsoft.com/office/drawing/2014/chart" uri="{C3380CC4-5D6E-409C-BE32-E72D297353CC}">
              <c16:uniqueId val="{00000003-61CA-9447-B874-D54659D4840B}"/>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4"/>
          <c:tx>
            <c:strRef>
              <c:f>'Profile Summary and Figures'!$A$192</c:f>
              <c:strCache>
                <c:ptCount val="1"/>
                <c:pt idx="0">
                  <c:v>Alcohol Use Disorders Identification Test (AUDIT)</c:v>
                </c:pt>
              </c:strCache>
            </c:strRef>
          </c:tx>
          <c:marker>
            <c:symbol val="circle"/>
            <c:size val="7"/>
            <c:spPr>
              <a:solidFill>
                <a:schemeClr val="accent1"/>
              </a:solidFill>
              <a:ln>
                <a:solidFill>
                  <a:schemeClr val="accent1">
                    <a:lumMod val="50000"/>
                  </a:schemeClr>
                </a:solidFill>
              </a:ln>
            </c:spPr>
          </c:marker>
          <c:cat>
            <c:strRef>
              <c:f>'Profile Summary and Figures'!$A$194</c:f>
              <c:strCache>
                <c:ptCount val="1"/>
                <c:pt idx="0">
                  <c:v>Total</c:v>
                </c:pt>
              </c:strCache>
            </c:strRef>
          </c:cat>
          <c:val>
            <c:numRef>
              <c:f>'Profile Summary and Figures'!$C$194</c:f>
              <c:numCache>
                <c:formatCode>General</c:formatCode>
                <c:ptCount val="1"/>
                <c:pt idx="0">
                  <c:v>0</c:v>
                </c:pt>
              </c:numCache>
            </c:numRef>
          </c:val>
          <c:smooth val="0"/>
          <c:extLst>
            <c:ext xmlns:c16="http://schemas.microsoft.com/office/drawing/2014/chart" uri="{C3380CC4-5D6E-409C-BE32-E72D297353CC}">
              <c16:uniqueId val="{00000004-61CA-9447-B874-D54659D4840B}"/>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1"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40"/>
          <c:min val="0"/>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Figures'!$A$345</c:f>
          <c:strCache>
            <c:ptCount val="1"/>
            <c:pt idx="0">
              <c:v>Perth Empathy Scale (PES)</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stacked"/>
        <c:varyColors val="0"/>
        <c:ser>
          <c:idx val="0"/>
          <c:order val="0"/>
          <c:tx>
            <c:v>SD-1</c:v>
          </c:tx>
          <c:spPr>
            <a:solidFill>
              <a:schemeClr val="bg1">
                <a:alpha val="50000"/>
              </a:schemeClr>
            </a:solidFill>
            <a:ln w="1905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8"/>
              <c:pt idx="0">
                <c:v>-1</c:v>
              </c:pt>
              <c:pt idx="1">
                <c:v>-1</c:v>
              </c:pt>
              <c:pt idx="2">
                <c:v>-1</c:v>
              </c:pt>
              <c:pt idx="3">
                <c:v>-1</c:v>
              </c:pt>
              <c:pt idx="4">
                <c:v>-1</c:v>
              </c:pt>
              <c:pt idx="5">
                <c:v>-1</c:v>
              </c:pt>
              <c:pt idx="6">
                <c:v>-1</c:v>
              </c:pt>
              <c:pt idx="7">
                <c:v>-1</c:v>
              </c:pt>
            </c:numLit>
          </c:val>
          <c:extLst>
            <c:ext xmlns:c16="http://schemas.microsoft.com/office/drawing/2014/chart" uri="{C3380CC4-5D6E-409C-BE32-E72D297353CC}">
              <c16:uniqueId val="{00000000-D90D-AA42-98D6-8C5445E2584D}"/>
            </c:ext>
          </c:extLst>
        </c:ser>
        <c:ser>
          <c:idx val="1"/>
          <c:order val="1"/>
          <c:tx>
            <c:v>SD1</c:v>
          </c:tx>
          <c:spPr>
            <a:solidFill>
              <a:schemeClr val="bg1">
                <a:alpha val="5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8"/>
              <c:pt idx="0">
                <c:v>1</c:v>
              </c:pt>
              <c:pt idx="1">
                <c:v>1</c:v>
              </c:pt>
              <c:pt idx="2">
                <c:v>1</c:v>
              </c:pt>
              <c:pt idx="3">
                <c:v>1</c:v>
              </c:pt>
              <c:pt idx="4">
                <c:v>1</c:v>
              </c:pt>
              <c:pt idx="5">
                <c:v>1</c:v>
              </c:pt>
              <c:pt idx="6">
                <c:v>1</c:v>
              </c:pt>
              <c:pt idx="7">
                <c:v>1</c:v>
              </c:pt>
            </c:numLit>
          </c:val>
          <c:extLst>
            <c:ext xmlns:c16="http://schemas.microsoft.com/office/drawing/2014/chart" uri="{C3380CC4-5D6E-409C-BE32-E72D297353CC}">
              <c16:uniqueId val="{00000001-D90D-AA42-98D6-8C5445E2584D}"/>
            </c:ext>
          </c:extLst>
        </c:ser>
        <c:ser>
          <c:idx val="2"/>
          <c:order val="2"/>
          <c:tx>
            <c:v>SDmax</c:v>
          </c:tx>
          <c:spPr>
            <a:solidFill>
              <a:schemeClr val="accent4">
                <a:lumMod val="60000"/>
                <a:lumOff val="40000"/>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8"/>
              <c:pt idx="0">
                <c:v>5</c:v>
              </c:pt>
              <c:pt idx="1">
                <c:v>5</c:v>
              </c:pt>
              <c:pt idx="2">
                <c:v>5</c:v>
              </c:pt>
              <c:pt idx="3">
                <c:v>5</c:v>
              </c:pt>
              <c:pt idx="4">
                <c:v>0</c:v>
              </c:pt>
              <c:pt idx="5">
                <c:v>5</c:v>
              </c:pt>
              <c:pt idx="6">
                <c:v>5</c:v>
              </c:pt>
              <c:pt idx="7">
                <c:v>5</c:v>
              </c:pt>
            </c:numLit>
          </c:val>
          <c:extLst>
            <c:ext xmlns:c16="http://schemas.microsoft.com/office/drawing/2014/chart" uri="{C3380CC4-5D6E-409C-BE32-E72D297353CC}">
              <c16:uniqueId val="{00000002-D90D-AA42-98D6-8C5445E2584D}"/>
            </c:ext>
          </c:extLst>
        </c:ser>
        <c:ser>
          <c:idx val="3"/>
          <c:order val="3"/>
          <c:tx>
            <c:v>SDmin</c:v>
          </c:tx>
          <c:spPr>
            <a:solidFill>
              <a:schemeClr val="accent4">
                <a:lumMod val="60000"/>
                <a:lumOff val="40000"/>
                <a:alpha val="70000"/>
              </a:schemeClr>
            </a:solidFill>
            <a:ln w="12700"/>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8"/>
              <c:pt idx="0">
                <c:v>-5</c:v>
              </c:pt>
              <c:pt idx="1">
                <c:v>-5</c:v>
              </c:pt>
              <c:pt idx="2">
                <c:v>-5</c:v>
              </c:pt>
              <c:pt idx="3">
                <c:v>-5</c:v>
              </c:pt>
              <c:pt idx="4">
                <c:v>0</c:v>
              </c:pt>
              <c:pt idx="5">
                <c:v>-5</c:v>
              </c:pt>
              <c:pt idx="6">
                <c:v>-5</c:v>
              </c:pt>
              <c:pt idx="7">
                <c:v>-5</c:v>
              </c:pt>
            </c:numLit>
          </c:val>
          <c:extLst>
            <c:ext xmlns:c16="http://schemas.microsoft.com/office/drawing/2014/chart" uri="{C3380CC4-5D6E-409C-BE32-E72D297353CC}">
              <c16:uniqueId val="{00000003-D90D-AA42-98D6-8C5445E2584D}"/>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4"/>
          <c:tx>
            <c:strRef>
              <c:f>'Profile Summary and Figures'!$A$345</c:f>
              <c:strCache>
                <c:ptCount val="1"/>
                <c:pt idx="0">
                  <c:v>Perth Empathy Scale (PES)</c:v>
                </c:pt>
              </c:strCache>
            </c:strRef>
          </c:tx>
          <c:spPr>
            <a:ln>
              <a:solidFill>
                <a:schemeClr val="accent1"/>
              </a:solidFill>
            </a:ln>
          </c:spPr>
          <c:marker>
            <c:symbol val="circle"/>
            <c:size val="7"/>
            <c:spPr>
              <a:solidFill>
                <a:schemeClr val="accent1"/>
              </a:solidFill>
              <a:ln>
                <a:solidFill>
                  <a:schemeClr val="accent1">
                    <a:lumMod val="50000"/>
                  </a:schemeClr>
                </a:solidFill>
              </a:ln>
              <a:effectLst/>
            </c:spPr>
          </c:marker>
          <c:cat>
            <c:strRef>
              <c:f>'Profile Summary and Figures'!$B$347:$B$354</c:f>
              <c:strCache>
                <c:ptCount val="8"/>
                <c:pt idx="0">
                  <c:v>Neg-Cog</c:v>
                </c:pt>
                <c:pt idx="1">
                  <c:v>Pos-Cog</c:v>
                </c:pt>
                <c:pt idx="2">
                  <c:v>Neg-Aff</c:v>
                </c:pt>
                <c:pt idx="3">
                  <c:v>Pos-Aff</c:v>
                </c:pt>
                <c:pt idx="5">
                  <c:v>Gen-Cog</c:v>
                </c:pt>
                <c:pt idx="6">
                  <c:v>Gen-Aff</c:v>
                </c:pt>
                <c:pt idx="7">
                  <c:v>Total</c:v>
                </c:pt>
              </c:strCache>
            </c:strRef>
          </c:cat>
          <c:val>
            <c:numRef>
              <c:f>'Profile Summary and Figures'!$D$347:$D$354</c:f>
              <c:numCache>
                <c:formatCode>0.000</c:formatCode>
                <c:ptCount val="8"/>
                <c:pt idx="0">
                  <c:v>0</c:v>
                </c:pt>
                <c:pt idx="1">
                  <c:v>0</c:v>
                </c:pt>
                <c:pt idx="2">
                  <c:v>0</c:v>
                </c:pt>
                <c:pt idx="3">
                  <c:v>0</c:v>
                </c:pt>
                <c:pt idx="5">
                  <c:v>0</c:v>
                </c:pt>
                <c:pt idx="6">
                  <c:v>0</c:v>
                </c:pt>
                <c:pt idx="7">
                  <c:v>0</c:v>
                </c:pt>
              </c:numCache>
            </c:numRef>
          </c:val>
          <c:smooth val="0"/>
          <c:extLst>
            <c:ext xmlns:c16="http://schemas.microsoft.com/office/drawing/2014/chart" uri="{C3380CC4-5D6E-409C-BE32-E72D297353CC}">
              <c16:uniqueId val="{00000004-D90D-AA42-98D6-8C5445E2584D}"/>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0"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5"/>
          <c:min val="-5"/>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z-score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majorUnit val="1"/>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Figures'!$A$28</c:f>
          <c:strCache>
            <c:ptCount val="1"/>
            <c:pt idx="0">
              <c:v>Depression Anxiety Stress Scales (DASS)</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clustered"/>
        <c:varyColors val="0"/>
        <c:ser>
          <c:idx val="2"/>
          <c:order val="0"/>
          <c:tx>
            <c:v>cut_max</c:v>
          </c:tx>
          <c:spPr>
            <a:solidFill>
              <a:schemeClr val="accent6">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3"/>
              <c:pt idx="0">
                <c:v>45</c:v>
              </c:pt>
              <c:pt idx="1">
                <c:v>45</c:v>
              </c:pt>
              <c:pt idx="2">
                <c:v>45</c:v>
              </c:pt>
            </c:numLit>
          </c:val>
          <c:extLst>
            <c:ext xmlns:c16="http://schemas.microsoft.com/office/drawing/2014/chart" uri="{C3380CC4-5D6E-409C-BE32-E72D297353CC}">
              <c16:uniqueId val="{00000000-A235-CB46-A083-61461905A468}"/>
            </c:ext>
          </c:extLst>
        </c:ser>
        <c:ser>
          <c:idx val="5"/>
          <c:order val="1"/>
          <c:tx>
            <c:v>cut_severe</c:v>
          </c:tx>
          <c:spPr>
            <a:solidFill>
              <a:schemeClr val="accent5">
                <a:alpha val="7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3"/>
              <c:pt idx="0">
                <c:v>26</c:v>
              </c:pt>
              <c:pt idx="1">
                <c:v>19</c:v>
              </c:pt>
              <c:pt idx="2">
                <c:v>33</c:v>
              </c:pt>
            </c:numLit>
          </c:val>
          <c:extLst>
            <c:ext xmlns:c16="http://schemas.microsoft.com/office/drawing/2014/chart" uri="{C3380CC4-5D6E-409C-BE32-E72D297353CC}">
              <c16:uniqueId val="{00000001-A235-CB46-A083-61461905A468}"/>
            </c:ext>
          </c:extLst>
        </c:ser>
        <c:ser>
          <c:idx val="3"/>
          <c:order val="2"/>
          <c:tx>
            <c:v>cut_moderate</c:v>
          </c:tx>
          <c:spPr>
            <a:solidFill>
              <a:schemeClr val="accent4">
                <a:lumMod val="60000"/>
                <a:lumOff val="40000"/>
                <a:alpha val="7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3"/>
              <c:pt idx="0">
                <c:v>20</c:v>
              </c:pt>
              <c:pt idx="1">
                <c:v>14</c:v>
              </c:pt>
              <c:pt idx="2">
                <c:v>25</c:v>
              </c:pt>
            </c:numLit>
          </c:val>
          <c:extLst>
            <c:ext xmlns:c16="http://schemas.microsoft.com/office/drawing/2014/chart" uri="{C3380CC4-5D6E-409C-BE32-E72D297353CC}">
              <c16:uniqueId val="{00000002-A235-CB46-A083-61461905A468}"/>
            </c:ext>
          </c:extLst>
        </c:ser>
        <c:ser>
          <c:idx val="0"/>
          <c:order val="3"/>
          <c:tx>
            <c:v>cut_mild</c:v>
          </c:tx>
          <c:spPr>
            <a:solidFill>
              <a:schemeClr val="accent3">
                <a:lumMod val="60000"/>
                <a:lumOff val="40000"/>
                <a:alpha val="8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3"/>
              <c:pt idx="0">
                <c:v>13</c:v>
              </c:pt>
              <c:pt idx="1">
                <c:v>9</c:v>
              </c:pt>
              <c:pt idx="2">
                <c:v>18</c:v>
              </c:pt>
            </c:numLit>
          </c:val>
          <c:extLst>
            <c:ext xmlns:c16="http://schemas.microsoft.com/office/drawing/2014/chart" uri="{C3380CC4-5D6E-409C-BE32-E72D297353CC}">
              <c16:uniqueId val="{00000003-A235-CB46-A083-61461905A468}"/>
            </c:ext>
          </c:extLst>
        </c:ser>
        <c:ser>
          <c:idx val="1"/>
          <c:order val="4"/>
          <c:tx>
            <c:v>cut_normal</c:v>
          </c:tx>
          <c:spPr>
            <a:solidFill>
              <a:schemeClr val="bg1">
                <a:alpha val="80000"/>
              </a:schemeClr>
            </a:solidFill>
            <a:ln w="1905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3"/>
              <c:pt idx="0">
                <c:v>9</c:v>
              </c:pt>
              <c:pt idx="1">
                <c:v>7</c:v>
              </c:pt>
              <c:pt idx="2">
                <c:v>14</c:v>
              </c:pt>
            </c:numLit>
          </c:val>
          <c:extLst>
            <c:ext xmlns:c16="http://schemas.microsoft.com/office/drawing/2014/chart" uri="{C3380CC4-5D6E-409C-BE32-E72D297353CC}">
              <c16:uniqueId val="{00000004-A235-CB46-A083-61461905A468}"/>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5"/>
          <c:tx>
            <c:strRef>
              <c:f>'Profile Summary and Figures'!$A$28</c:f>
              <c:strCache>
                <c:ptCount val="1"/>
                <c:pt idx="0">
                  <c:v>Depression Anxiety Stress Scales (DASS)</c:v>
                </c:pt>
              </c:strCache>
            </c:strRef>
          </c:tx>
          <c:spPr>
            <a:ln>
              <a:solidFill>
                <a:schemeClr val="accent1"/>
              </a:solidFill>
            </a:ln>
          </c:spPr>
          <c:marker>
            <c:symbol val="circle"/>
            <c:size val="7"/>
            <c:spPr>
              <a:solidFill>
                <a:schemeClr val="accent1"/>
              </a:solidFill>
              <a:ln>
                <a:solidFill>
                  <a:schemeClr val="accent1">
                    <a:lumMod val="50000"/>
                  </a:schemeClr>
                </a:solidFill>
              </a:ln>
            </c:spPr>
          </c:marker>
          <c:cat>
            <c:strRef>
              <c:f>'Profile Summary and Figures'!$A$30:$A$32</c:f>
              <c:strCache>
                <c:ptCount val="3"/>
                <c:pt idx="0">
                  <c:v>Depression</c:v>
                </c:pt>
                <c:pt idx="1">
                  <c:v>Anxiety</c:v>
                </c:pt>
                <c:pt idx="2">
                  <c:v>Stress</c:v>
                </c:pt>
              </c:strCache>
            </c:strRef>
          </c:cat>
          <c:val>
            <c:numRef>
              <c:f>'Profile Summary and Figures'!$C$30:$C$32</c:f>
              <c:numCache>
                <c:formatCode>General</c:formatCode>
                <c:ptCount val="3"/>
                <c:pt idx="0">
                  <c:v>0</c:v>
                </c:pt>
                <c:pt idx="1">
                  <c:v>0</c:v>
                </c:pt>
                <c:pt idx="2">
                  <c:v>0</c:v>
                </c:pt>
              </c:numCache>
            </c:numRef>
          </c:val>
          <c:smooth val="0"/>
          <c:extLst>
            <c:ext xmlns:c16="http://schemas.microsoft.com/office/drawing/2014/chart" uri="{C3380CC4-5D6E-409C-BE32-E72D297353CC}">
              <c16:uniqueId val="{00000005-A235-CB46-A083-61461905A468}"/>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0"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45"/>
          <c:min val="0"/>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Figures'!$A$379</c:f>
          <c:strCache>
            <c:ptCount val="1"/>
            <c:pt idx="0">
              <c:v>Autism-Spectrum Quotient (AQ)</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clustered"/>
        <c:varyColors val="0"/>
        <c:ser>
          <c:idx val="5"/>
          <c:order val="0"/>
          <c:tx>
            <c:v>cut_high</c:v>
          </c:tx>
          <c:spPr>
            <a:solidFill>
              <a:schemeClr val="accent4">
                <a:lumMod val="60000"/>
                <a:lumOff val="40000"/>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7"/>
              <c:pt idx="0">
                <c:v>0</c:v>
              </c:pt>
              <c:pt idx="1">
                <c:v>0</c:v>
              </c:pt>
              <c:pt idx="2">
                <c:v>0</c:v>
              </c:pt>
              <c:pt idx="3">
                <c:v>0</c:v>
              </c:pt>
              <c:pt idx="4">
                <c:v>0</c:v>
              </c:pt>
              <c:pt idx="5">
                <c:v>0</c:v>
              </c:pt>
              <c:pt idx="6">
                <c:v>50</c:v>
              </c:pt>
            </c:numLit>
          </c:val>
          <c:extLst>
            <c:ext xmlns:c16="http://schemas.microsoft.com/office/drawing/2014/chart" uri="{C3380CC4-5D6E-409C-BE32-E72D297353CC}">
              <c16:uniqueId val="{00000007-BCE4-FB46-9B6D-EB6279657288}"/>
            </c:ext>
          </c:extLst>
        </c:ser>
        <c:ser>
          <c:idx val="0"/>
          <c:order val="1"/>
          <c:tx>
            <c:v>cut_low</c:v>
          </c:tx>
          <c:spPr>
            <a:solidFill>
              <a:schemeClr val="accent3">
                <a:lumMod val="60000"/>
                <a:lumOff val="40000"/>
                <a:alpha val="8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7"/>
              <c:pt idx="0">
                <c:v>0</c:v>
              </c:pt>
              <c:pt idx="1">
                <c:v>0</c:v>
              </c:pt>
              <c:pt idx="2">
                <c:v>0</c:v>
              </c:pt>
              <c:pt idx="3">
                <c:v>0</c:v>
              </c:pt>
              <c:pt idx="4">
                <c:v>0</c:v>
              </c:pt>
              <c:pt idx="5">
                <c:v>0</c:v>
              </c:pt>
              <c:pt idx="6">
                <c:v>31</c:v>
              </c:pt>
            </c:numLit>
          </c:val>
          <c:extLst>
            <c:ext xmlns:c16="http://schemas.microsoft.com/office/drawing/2014/chart" uri="{C3380CC4-5D6E-409C-BE32-E72D297353CC}">
              <c16:uniqueId val="{00000009-BCE4-FB46-9B6D-EB6279657288}"/>
            </c:ext>
          </c:extLst>
        </c:ser>
        <c:ser>
          <c:idx val="1"/>
          <c:order val="2"/>
          <c:tx>
            <c:v>cut_NA</c:v>
          </c:tx>
          <c:spPr>
            <a:solidFill>
              <a:schemeClr val="bg1">
                <a:lumMod val="75000"/>
                <a:alpha val="70000"/>
              </a:schemeClr>
            </a:solidFill>
          </c:spPr>
          <c:invertIfNegative val="0"/>
          <c:val>
            <c:numLit>
              <c:formatCode>General</c:formatCode>
              <c:ptCount val="7"/>
              <c:pt idx="0">
                <c:v>10</c:v>
              </c:pt>
              <c:pt idx="1">
                <c:v>10</c:v>
              </c:pt>
              <c:pt idx="2">
                <c:v>10</c:v>
              </c:pt>
              <c:pt idx="3">
                <c:v>10</c:v>
              </c:pt>
              <c:pt idx="4">
                <c:v>10</c:v>
              </c:pt>
              <c:pt idx="5">
                <c:v>0</c:v>
              </c:pt>
              <c:pt idx="6">
                <c:v>0</c:v>
              </c:pt>
            </c:numLit>
          </c:val>
          <c:extLst>
            <c:ext xmlns:c16="http://schemas.microsoft.com/office/drawing/2014/chart" uri="{C3380CC4-5D6E-409C-BE32-E72D297353CC}">
              <c16:uniqueId val="{00000001-E84D-2145-A762-42348A8C5A33}"/>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3"/>
          <c:tx>
            <c:strRef>
              <c:f>'Profile Summary and Figures'!$A$379</c:f>
              <c:strCache>
                <c:ptCount val="1"/>
                <c:pt idx="0">
                  <c:v>Autism-Spectrum Quotient (AQ)</c:v>
                </c:pt>
              </c:strCache>
            </c:strRef>
          </c:tx>
          <c:spPr>
            <a:ln>
              <a:solidFill>
                <a:schemeClr val="accent1"/>
              </a:solidFill>
            </a:ln>
          </c:spPr>
          <c:marker>
            <c:symbol val="circle"/>
            <c:size val="7"/>
            <c:spPr>
              <a:solidFill>
                <a:schemeClr val="accent1"/>
              </a:solidFill>
              <a:ln>
                <a:solidFill>
                  <a:schemeClr val="accent1">
                    <a:lumMod val="50000"/>
                  </a:schemeClr>
                </a:solidFill>
              </a:ln>
            </c:spPr>
          </c:marker>
          <c:cat>
            <c:strRef>
              <c:f>'Profile Summary and Figures'!$B$381:$B$387</c:f>
              <c:strCache>
                <c:ptCount val="7"/>
                <c:pt idx="0">
                  <c:v>Social skill</c:v>
                </c:pt>
                <c:pt idx="1">
                  <c:v>Attention switching</c:v>
                </c:pt>
                <c:pt idx="2">
                  <c:v>Attention to detail</c:v>
                </c:pt>
                <c:pt idx="3">
                  <c:v>Communication</c:v>
                </c:pt>
                <c:pt idx="4">
                  <c:v>Imagination</c:v>
                </c:pt>
                <c:pt idx="6">
                  <c:v>Total scale</c:v>
                </c:pt>
              </c:strCache>
            </c:strRef>
          </c:cat>
          <c:val>
            <c:numRef>
              <c:f>'Profile Summary and Figures'!$C$381:$C$387</c:f>
              <c:numCache>
                <c:formatCode>General</c:formatCode>
                <c:ptCount val="7"/>
                <c:pt idx="0">
                  <c:v>0</c:v>
                </c:pt>
                <c:pt idx="1">
                  <c:v>0</c:v>
                </c:pt>
                <c:pt idx="2">
                  <c:v>0</c:v>
                </c:pt>
                <c:pt idx="3">
                  <c:v>0</c:v>
                </c:pt>
                <c:pt idx="4">
                  <c:v>0</c:v>
                </c:pt>
                <c:pt idx="6">
                  <c:v>0</c:v>
                </c:pt>
              </c:numCache>
            </c:numRef>
          </c:val>
          <c:smooth val="0"/>
          <c:extLst>
            <c:ext xmlns:c16="http://schemas.microsoft.com/office/drawing/2014/chart" uri="{C3380CC4-5D6E-409C-BE32-E72D297353CC}">
              <c16:uniqueId val="{0000000B-BCE4-FB46-9B6D-EB6279657288}"/>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0" i="0" u="none" strike="noStrike" kern="1200" baseline="0">
                <a:ln>
                  <a:noFill/>
                </a:ln>
                <a:solidFill>
                  <a:schemeClr val="bg2">
                    <a:lumMod val="75000"/>
                  </a:schemeClr>
                </a:solidFill>
                <a:latin typeface="+mn-lt"/>
                <a:ea typeface="+mn-ea"/>
                <a:cs typeface="+mn-cs"/>
              </a:defRPr>
            </a:pPr>
            <a:endParaRPr lang="en-US"/>
          </a:p>
        </c:txPr>
        <c:crossAx val="1970953087"/>
        <c:crossesAt val="0"/>
        <c:auto val="1"/>
        <c:lblAlgn val="ctr"/>
        <c:lblOffset val="0"/>
        <c:noMultiLvlLbl val="0"/>
      </c:catAx>
      <c:valAx>
        <c:axId val="1970953087"/>
        <c:scaling>
          <c:orientation val="minMax"/>
          <c:max val="50"/>
          <c:min val="0"/>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Figures'!$A$396</c:f>
          <c:strCache>
            <c:ptCount val="1"/>
            <c:pt idx="0">
              <c:v>Autism-Spectrum Quotient-10 (AQ-10)</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clustered"/>
        <c:varyColors val="0"/>
        <c:ser>
          <c:idx val="5"/>
          <c:order val="0"/>
          <c:tx>
            <c:v>cut_veryhigh</c:v>
          </c:tx>
          <c:spPr>
            <a:solidFill>
              <a:schemeClr val="accent4">
                <a:lumMod val="60000"/>
                <a:lumOff val="40000"/>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10</c:v>
              </c:pt>
            </c:numLit>
          </c:val>
          <c:extLst>
            <c:ext xmlns:c16="http://schemas.microsoft.com/office/drawing/2014/chart" uri="{C3380CC4-5D6E-409C-BE32-E72D297353CC}">
              <c16:uniqueId val="{00000000-B148-6346-AE58-4C92C1C7E412}"/>
            </c:ext>
          </c:extLst>
        </c:ser>
        <c:ser>
          <c:idx val="3"/>
          <c:order val="1"/>
          <c:tx>
            <c:v>cut_high</c:v>
          </c:tx>
          <c:spPr>
            <a:solidFill>
              <a:schemeClr val="accent3">
                <a:lumMod val="60000"/>
                <a:lumOff val="40000"/>
                <a:alpha val="8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5</c:v>
              </c:pt>
            </c:numLit>
          </c:val>
          <c:extLst>
            <c:ext xmlns:c16="http://schemas.microsoft.com/office/drawing/2014/chart" uri="{C3380CC4-5D6E-409C-BE32-E72D297353CC}">
              <c16:uniqueId val="{00000001-B148-6346-AE58-4C92C1C7E412}"/>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2"/>
          <c:tx>
            <c:strRef>
              <c:f>'Profile Summary and Figures'!$A$396</c:f>
              <c:strCache>
                <c:ptCount val="1"/>
                <c:pt idx="0">
                  <c:v>Autism-Spectrum Quotient-10 (AQ-10)</c:v>
                </c:pt>
              </c:strCache>
            </c:strRef>
          </c:tx>
          <c:spPr>
            <a:ln>
              <a:solidFill>
                <a:schemeClr val="accent1">
                  <a:lumMod val="50000"/>
                </a:schemeClr>
              </a:solidFill>
            </a:ln>
          </c:spPr>
          <c:marker>
            <c:symbol val="circle"/>
            <c:size val="7"/>
            <c:spPr>
              <a:solidFill>
                <a:schemeClr val="accent1"/>
              </a:solidFill>
              <a:ln>
                <a:solidFill>
                  <a:schemeClr val="accent1">
                    <a:lumMod val="50000"/>
                  </a:schemeClr>
                </a:solidFill>
              </a:ln>
            </c:spPr>
          </c:marker>
          <c:cat>
            <c:strRef>
              <c:f>'Profile Summary and Figures'!$A$398</c:f>
              <c:strCache>
                <c:ptCount val="1"/>
                <c:pt idx="0">
                  <c:v>Total</c:v>
                </c:pt>
              </c:strCache>
            </c:strRef>
          </c:cat>
          <c:val>
            <c:numRef>
              <c:f>'Profile Summary and Figures'!$C$398</c:f>
              <c:numCache>
                <c:formatCode>General</c:formatCode>
                <c:ptCount val="1"/>
                <c:pt idx="0">
                  <c:v>0</c:v>
                </c:pt>
              </c:numCache>
            </c:numRef>
          </c:val>
          <c:smooth val="0"/>
          <c:extLst>
            <c:ext xmlns:c16="http://schemas.microsoft.com/office/drawing/2014/chart" uri="{C3380CC4-5D6E-409C-BE32-E72D297353CC}">
              <c16:uniqueId val="{00000004-B148-6346-AE58-4C92C1C7E412}"/>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1"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10"/>
          <c:min val="0"/>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Figures'!$A$363</c:f>
          <c:strCache>
            <c:ptCount val="1"/>
            <c:pt idx="0">
              <c:v>Adult ADHD Self-Report Scale (ASRS)</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clustered"/>
        <c:varyColors val="0"/>
        <c:ser>
          <c:idx val="5"/>
          <c:order val="0"/>
          <c:tx>
            <c:v>cut_veryhigh</c:v>
          </c:tx>
          <c:spPr>
            <a:solidFill>
              <a:schemeClr val="accent4">
                <a:lumMod val="60000"/>
                <a:lumOff val="40000"/>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6</c:v>
              </c:pt>
            </c:numLit>
          </c:val>
          <c:extLst>
            <c:ext xmlns:c16="http://schemas.microsoft.com/office/drawing/2014/chart" uri="{C3380CC4-5D6E-409C-BE32-E72D297353CC}">
              <c16:uniqueId val="{00000000-725E-7348-AD4B-040231623142}"/>
            </c:ext>
          </c:extLst>
        </c:ser>
        <c:ser>
          <c:idx val="3"/>
          <c:order val="1"/>
          <c:tx>
            <c:v>cut_high</c:v>
          </c:tx>
          <c:spPr>
            <a:solidFill>
              <a:schemeClr val="accent3">
                <a:lumMod val="60000"/>
                <a:lumOff val="40000"/>
                <a:alpha val="8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4</c:v>
              </c:pt>
            </c:numLit>
          </c:val>
          <c:extLst>
            <c:ext xmlns:c16="http://schemas.microsoft.com/office/drawing/2014/chart" uri="{C3380CC4-5D6E-409C-BE32-E72D297353CC}">
              <c16:uniqueId val="{00000001-725E-7348-AD4B-040231623142}"/>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2"/>
          <c:tx>
            <c:strRef>
              <c:f>'Profile Summary and Figures'!$A$363</c:f>
              <c:strCache>
                <c:ptCount val="1"/>
                <c:pt idx="0">
                  <c:v>Adult ADHD Self-Report Scale (ASRS)</c:v>
                </c:pt>
              </c:strCache>
            </c:strRef>
          </c:tx>
          <c:marker>
            <c:symbol val="circle"/>
            <c:size val="7"/>
            <c:spPr>
              <a:solidFill>
                <a:schemeClr val="accent1"/>
              </a:solidFill>
              <a:ln>
                <a:solidFill>
                  <a:schemeClr val="accent1">
                    <a:lumMod val="50000"/>
                  </a:schemeClr>
                </a:solidFill>
              </a:ln>
            </c:spPr>
          </c:marker>
          <c:cat>
            <c:strRef>
              <c:f>'Profile Summary and Figures'!$A$365</c:f>
              <c:strCache>
                <c:ptCount val="1"/>
                <c:pt idx="0">
                  <c:v>Part A</c:v>
                </c:pt>
              </c:strCache>
            </c:strRef>
          </c:cat>
          <c:val>
            <c:numRef>
              <c:f>'Profile Summary and Figures'!$C$365</c:f>
              <c:numCache>
                <c:formatCode>General</c:formatCode>
                <c:ptCount val="1"/>
                <c:pt idx="0">
                  <c:v>0</c:v>
                </c:pt>
              </c:numCache>
            </c:numRef>
          </c:val>
          <c:smooth val="0"/>
          <c:extLst>
            <c:ext xmlns:c16="http://schemas.microsoft.com/office/drawing/2014/chart" uri="{C3380CC4-5D6E-409C-BE32-E72D297353CC}">
              <c16:uniqueId val="{00000003-725E-7348-AD4B-040231623142}"/>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1"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6"/>
          <c:min val="0"/>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Figures'!$A$412</c:f>
          <c:strCache>
            <c:ptCount val="1"/>
            <c:pt idx="0">
              <c:v>Comprehensive Autistic Trait Inventory (CATI)</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clustered"/>
        <c:varyColors val="0"/>
        <c:ser>
          <c:idx val="5"/>
          <c:order val="0"/>
          <c:tx>
            <c:v>cut_high</c:v>
          </c:tx>
          <c:spPr>
            <a:solidFill>
              <a:schemeClr val="accent4">
                <a:lumMod val="60000"/>
                <a:lumOff val="40000"/>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8"/>
              <c:pt idx="0">
                <c:v>6</c:v>
              </c:pt>
              <c:pt idx="1">
                <c:v>6</c:v>
              </c:pt>
              <c:pt idx="2">
                <c:v>6</c:v>
              </c:pt>
              <c:pt idx="3">
                <c:v>6</c:v>
              </c:pt>
              <c:pt idx="4">
                <c:v>6</c:v>
              </c:pt>
              <c:pt idx="5">
                <c:v>6</c:v>
              </c:pt>
              <c:pt idx="6">
                <c:v>6</c:v>
              </c:pt>
              <c:pt idx="7">
                <c:v>210</c:v>
              </c:pt>
            </c:numLit>
          </c:val>
          <c:extLst>
            <c:ext xmlns:c16="http://schemas.microsoft.com/office/drawing/2014/chart" uri="{C3380CC4-5D6E-409C-BE32-E72D297353CC}">
              <c16:uniqueId val="{00000001-6F88-DD40-97F4-6FBFD6B95513}"/>
            </c:ext>
          </c:extLst>
        </c:ser>
        <c:ser>
          <c:idx val="0"/>
          <c:order val="1"/>
          <c:tx>
            <c:v>cut_low</c:v>
          </c:tx>
          <c:spPr>
            <a:solidFill>
              <a:schemeClr val="accent3">
                <a:lumMod val="60000"/>
                <a:lumOff val="40000"/>
                <a:alpha val="8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8"/>
              <c:pt idx="0">
                <c:v>6</c:v>
              </c:pt>
              <c:pt idx="1">
                <c:v>6</c:v>
              </c:pt>
              <c:pt idx="2">
                <c:v>6</c:v>
              </c:pt>
              <c:pt idx="3">
                <c:v>6</c:v>
              </c:pt>
              <c:pt idx="4">
                <c:v>6</c:v>
              </c:pt>
              <c:pt idx="5">
                <c:v>6</c:v>
              </c:pt>
              <c:pt idx="6">
                <c:v>6</c:v>
              </c:pt>
              <c:pt idx="7">
                <c:v>133</c:v>
              </c:pt>
            </c:numLit>
          </c:val>
          <c:extLst>
            <c:ext xmlns:c16="http://schemas.microsoft.com/office/drawing/2014/chart" uri="{C3380CC4-5D6E-409C-BE32-E72D297353CC}">
              <c16:uniqueId val="{00000002-6F88-DD40-97F4-6FBFD6B95513}"/>
            </c:ext>
          </c:extLst>
        </c:ser>
        <c:ser>
          <c:idx val="1"/>
          <c:order val="2"/>
          <c:tx>
            <c:v>cut_NA</c:v>
          </c:tx>
          <c:spPr>
            <a:solidFill>
              <a:schemeClr val="bg1">
                <a:lumMod val="75000"/>
                <a:alpha val="70000"/>
              </a:schemeClr>
            </a:solidFill>
          </c:spPr>
          <c:invertIfNegative val="0"/>
          <c:val>
            <c:numLit>
              <c:formatCode>General</c:formatCode>
              <c:ptCount val="6"/>
              <c:pt idx="0">
                <c:v>35</c:v>
              </c:pt>
              <c:pt idx="1">
                <c:v>35</c:v>
              </c:pt>
              <c:pt idx="2">
                <c:v>35</c:v>
              </c:pt>
              <c:pt idx="3">
                <c:v>35</c:v>
              </c:pt>
              <c:pt idx="4">
                <c:v>35</c:v>
              </c:pt>
              <c:pt idx="5">
                <c:v>35</c:v>
              </c:pt>
            </c:numLit>
          </c:val>
          <c:extLst>
            <c:ext xmlns:c16="http://schemas.microsoft.com/office/drawing/2014/chart" uri="{C3380CC4-5D6E-409C-BE32-E72D297353CC}">
              <c16:uniqueId val="{00000000-DBED-7B49-A9B8-E4EEB72F42FF}"/>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3"/>
          <c:tx>
            <c:strRef>
              <c:f>'Profile Summary and Figures'!$A$412</c:f>
              <c:strCache>
                <c:ptCount val="1"/>
                <c:pt idx="0">
                  <c:v>Comprehensive Autistic Trait Inventory (CATI)</c:v>
                </c:pt>
              </c:strCache>
            </c:strRef>
          </c:tx>
          <c:spPr>
            <a:ln>
              <a:solidFill>
                <a:schemeClr val="accent1"/>
              </a:solidFill>
            </a:ln>
          </c:spPr>
          <c:marker>
            <c:symbol val="circle"/>
            <c:size val="7"/>
            <c:spPr>
              <a:solidFill>
                <a:schemeClr val="accent1"/>
              </a:solidFill>
              <a:ln>
                <a:solidFill>
                  <a:schemeClr val="accent1">
                    <a:lumMod val="50000"/>
                  </a:schemeClr>
                </a:solidFill>
              </a:ln>
            </c:spPr>
          </c:marker>
          <c:cat>
            <c:strRef>
              <c:f>'Profile Summary and Figures'!$B$414:$B$421</c:f>
              <c:strCache>
                <c:ptCount val="8"/>
                <c:pt idx="0">
                  <c:v>Social interactions</c:v>
                </c:pt>
                <c:pt idx="1">
                  <c:v>Communication</c:v>
                </c:pt>
                <c:pt idx="2">
                  <c:v>Social camouflage</c:v>
                </c:pt>
                <c:pt idx="3">
                  <c:v>Cognitive rigidity</c:v>
                </c:pt>
                <c:pt idx="4">
                  <c:v>Repetitive behaviours</c:v>
                </c:pt>
                <c:pt idx="5">
                  <c:v>Sensory sensitivity</c:v>
                </c:pt>
                <c:pt idx="7">
                  <c:v>Total</c:v>
                </c:pt>
              </c:strCache>
            </c:strRef>
          </c:cat>
          <c:val>
            <c:numRef>
              <c:f>'Profile Summary and Figures'!$C$414:$C$421</c:f>
              <c:numCache>
                <c:formatCode>General</c:formatCode>
                <c:ptCount val="8"/>
                <c:pt idx="0">
                  <c:v>0</c:v>
                </c:pt>
                <c:pt idx="1">
                  <c:v>0</c:v>
                </c:pt>
                <c:pt idx="2">
                  <c:v>0</c:v>
                </c:pt>
                <c:pt idx="3">
                  <c:v>0</c:v>
                </c:pt>
                <c:pt idx="4">
                  <c:v>0</c:v>
                </c:pt>
                <c:pt idx="5">
                  <c:v>0</c:v>
                </c:pt>
                <c:pt idx="7">
                  <c:v>0</c:v>
                </c:pt>
              </c:numCache>
            </c:numRef>
          </c:val>
          <c:smooth val="0"/>
          <c:extLst>
            <c:ext xmlns:c16="http://schemas.microsoft.com/office/drawing/2014/chart" uri="{C3380CC4-5D6E-409C-BE32-E72D297353CC}">
              <c16:uniqueId val="{00000003-6F88-DD40-97F4-6FBFD6B95513}"/>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0" i="0" u="none" strike="noStrike" kern="1200" baseline="0">
                <a:ln>
                  <a:noFill/>
                </a:ln>
                <a:solidFill>
                  <a:schemeClr val="bg2">
                    <a:lumMod val="75000"/>
                  </a:schemeClr>
                </a:solidFill>
                <a:latin typeface="+mn-lt"/>
                <a:ea typeface="+mn-ea"/>
                <a:cs typeface="+mn-cs"/>
              </a:defRPr>
            </a:pPr>
            <a:endParaRPr lang="en-US"/>
          </a:p>
        </c:txPr>
        <c:crossAx val="1970953087"/>
        <c:crossesAt val="7"/>
        <c:auto val="1"/>
        <c:lblAlgn val="ctr"/>
        <c:lblOffset val="0"/>
        <c:noMultiLvlLbl val="0"/>
      </c:catAx>
      <c:valAx>
        <c:axId val="1970953087"/>
        <c:scaling>
          <c:orientation val="minMax"/>
          <c:max val="210"/>
          <c:min val="0"/>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Figures'!$A$228</c:f>
          <c:strCache>
            <c:ptCount val="1"/>
            <c:pt idx="0">
              <c:v>Perth Alexithymia Questionnaire-Short Form (PAQ-S)</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stacked"/>
        <c:varyColors val="0"/>
        <c:ser>
          <c:idx val="0"/>
          <c:order val="0"/>
          <c:tx>
            <c:v>SD-1</c:v>
          </c:tx>
          <c:spPr>
            <a:solidFill>
              <a:schemeClr val="bg1">
                <a:alpha val="50000"/>
              </a:schemeClr>
            </a:solidFill>
            <a:ln w="19050" cap="rnd">
              <a:noFill/>
              <a:round/>
            </a:ln>
            <a:effectLst/>
          </c:spPr>
          <c:invertIfNegative val="0"/>
          <c:cat>
            <c:strRef>
              <c:f>'Profile Summary and Figures'!$B$230</c:f>
              <c:strCache>
                <c:ptCount val="1"/>
                <c:pt idx="0">
                  <c:v>TOT</c:v>
                </c:pt>
              </c:strCache>
            </c:strRef>
          </c:cat>
          <c:val>
            <c:numLit>
              <c:formatCode>General</c:formatCode>
              <c:ptCount val="1"/>
              <c:pt idx="0">
                <c:v>-1</c:v>
              </c:pt>
            </c:numLit>
          </c:val>
          <c:extLst>
            <c:ext xmlns:c16="http://schemas.microsoft.com/office/drawing/2014/chart" uri="{C3380CC4-5D6E-409C-BE32-E72D297353CC}">
              <c16:uniqueId val="{00000000-53DF-8049-A045-1B530789FC1D}"/>
            </c:ext>
          </c:extLst>
        </c:ser>
        <c:ser>
          <c:idx val="1"/>
          <c:order val="1"/>
          <c:spPr>
            <a:solidFill>
              <a:schemeClr val="bg1">
                <a:alpha val="50000"/>
              </a:schemeClr>
            </a:solidFill>
            <a:ln w="12700" cap="rnd">
              <a:noFill/>
              <a:round/>
            </a:ln>
            <a:effectLst/>
          </c:spPr>
          <c:invertIfNegative val="0"/>
          <c:cat>
            <c:strRef>
              <c:f>'Profile Summary and Figures'!$B$230</c:f>
              <c:strCache>
                <c:ptCount val="1"/>
                <c:pt idx="0">
                  <c:v>TOT</c:v>
                </c:pt>
              </c:strCache>
            </c:strRef>
          </c:cat>
          <c:val>
            <c:numLit>
              <c:formatCode>General</c:formatCode>
              <c:ptCount val="1"/>
              <c:pt idx="0">
                <c:v>1</c:v>
              </c:pt>
            </c:numLit>
          </c:val>
          <c:extLst>
            <c:ext xmlns:c16="http://schemas.microsoft.com/office/drawing/2014/chart" uri="{C3380CC4-5D6E-409C-BE32-E72D297353CC}">
              <c16:uniqueId val="{00000001-53DF-8049-A045-1B530789FC1D}"/>
            </c:ext>
          </c:extLst>
        </c:ser>
        <c:ser>
          <c:idx val="2"/>
          <c:order val="2"/>
          <c:tx>
            <c:v>SDmax</c:v>
          </c:tx>
          <c:spPr>
            <a:solidFill>
              <a:schemeClr val="accent4">
                <a:lumMod val="60000"/>
                <a:lumOff val="40000"/>
                <a:alpha val="70000"/>
              </a:schemeClr>
            </a:solidFill>
            <a:ln w="12700" cap="rnd">
              <a:noFill/>
              <a:round/>
            </a:ln>
            <a:effectLst/>
          </c:spPr>
          <c:invertIfNegative val="0"/>
          <c:cat>
            <c:strRef>
              <c:f>'Profile Summary and Figures'!$B$230</c:f>
              <c:strCache>
                <c:ptCount val="1"/>
                <c:pt idx="0">
                  <c:v>TOT</c:v>
                </c:pt>
              </c:strCache>
            </c:strRef>
          </c:cat>
          <c:val>
            <c:numLit>
              <c:formatCode>General</c:formatCode>
              <c:ptCount val="1"/>
              <c:pt idx="0">
                <c:v>5</c:v>
              </c:pt>
            </c:numLit>
          </c:val>
          <c:extLst>
            <c:ext xmlns:c16="http://schemas.microsoft.com/office/drawing/2014/chart" uri="{C3380CC4-5D6E-409C-BE32-E72D297353CC}">
              <c16:uniqueId val="{00000002-53DF-8049-A045-1B530789FC1D}"/>
            </c:ext>
          </c:extLst>
        </c:ser>
        <c:ser>
          <c:idx val="3"/>
          <c:order val="3"/>
          <c:tx>
            <c:v>SDmin</c:v>
          </c:tx>
          <c:spPr>
            <a:solidFill>
              <a:schemeClr val="accent4">
                <a:lumMod val="60000"/>
                <a:lumOff val="40000"/>
                <a:alpha val="70000"/>
              </a:schemeClr>
            </a:solidFill>
            <a:ln w="12700"/>
          </c:spPr>
          <c:invertIfNegative val="0"/>
          <c:cat>
            <c:strRef>
              <c:f>'Profile Summary and Figures'!$B$230</c:f>
              <c:strCache>
                <c:ptCount val="1"/>
                <c:pt idx="0">
                  <c:v>TOT</c:v>
                </c:pt>
              </c:strCache>
            </c:strRef>
          </c:cat>
          <c:val>
            <c:numLit>
              <c:formatCode>General</c:formatCode>
              <c:ptCount val="1"/>
              <c:pt idx="0">
                <c:v>-5</c:v>
              </c:pt>
            </c:numLit>
          </c:val>
          <c:extLst>
            <c:ext xmlns:c16="http://schemas.microsoft.com/office/drawing/2014/chart" uri="{C3380CC4-5D6E-409C-BE32-E72D297353CC}">
              <c16:uniqueId val="{00000003-53DF-8049-A045-1B530789FC1D}"/>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4"/>
          <c:tx>
            <c:strRef>
              <c:f>'Profile Summary and Figures'!$A$228</c:f>
              <c:strCache>
                <c:ptCount val="1"/>
                <c:pt idx="0">
                  <c:v>Perth Alexithymia Questionnaire-Short Form (PAQ-S)</c:v>
                </c:pt>
              </c:strCache>
            </c:strRef>
          </c:tx>
          <c:spPr>
            <a:ln>
              <a:solidFill>
                <a:schemeClr val="accent1"/>
              </a:solidFill>
            </a:ln>
            <a:effectLst/>
          </c:spPr>
          <c:marker>
            <c:symbol val="circle"/>
            <c:size val="7"/>
            <c:spPr>
              <a:solidFill>
                <a:schemeClr val="accent1"/>
              </a:solidFill>
              <a:ln>
                <a:solidFill>
                  <a:schemeClr val="accent1">
                    <a:lumMod val="50000"/>
                  </a:schemeClr>
                </a:solidFill>
              </a:ln>
              <a:effectLst/>
            </c:spPr>
          </c:marker>
          <c:cat>
            <c:strRef>
              <c:f>'Profile Summary and Figures'!$A$230</c:f>
              <c:strCache>
                <c:ptCount val="1"/>
                <c:pt idx="0">
                  <c:v>Total</c:v>
                </c:pt>
              </c:strCache>
            </c:strRef>
          </c:cat>
          <c:val>
            <c:numRef>
              <c:f>'Profile Summary and Figures'!$D$230</c:f>
              <c:numCache>
                <c:formatCode>0.000</c:formatCode>
                <c:ptCount val="1"/>
                <c:pt idx="0">
                  <c:v>0</c:v>
                </c:pt>
              </c:numCache>
            </c:numRef>
          </c:val>
          <c:smooth val="0"/>
          <c:extLst>
            <c:ext xmlns:c16="http://schemas.microsoft.com/office/drawing/2014/chart" uri="{C3380CC4-5D6E-409C-BE32-E72D297353CC}">
              <c16:uniqueId val="{00000004-53DF-8049-A045-1B530789FC1D}"/>
            </c:ext>
          </c:extLst>
        </c:ser>
        <c:ser>
          <c:idx val="5"/>
          <c:order val="5"/>
          <c:spPr>
            <a:ln>
              <a:solidFill>
                <a:schemeClr val="accent1">
                  <a:lumMod val="50000"/>
                </a:schemeClr>
              </a:solidFill>
            </a:ln>
          </c:spPr>
          <c:marker>
            <c:spPr>
              <a:solidFill>
                <a:schemeClr val="accent1"/>
              </a:solidFill>
              <a:ln>
                <a:solidFill>
                  <a:schemeClr val="accent1">
                    <a:lumMod val="50000"/>
                  </a:schemeClr>
                </a:solidFill>
              </a:ln>
            </c:spPr>
          </c:marker>
          <c:cat>
            <c:strRef>
              <c:f>'Profile Summary and Figures'!$A$230</c:f>
              <c:strCache>
                <c:ptCount val="1"/>
                <c:pt idx="0">
                  <c:v>Total</c:v>
                </c:pt>
              </c:strCache>
            </c:strRef>
          </c:cat>
          <c:val>
            <c:numRef>
              <c:f>'Profile Summary and Figures'!$C$230</c:f>
              <c:numCache>
                <c:formatCode>General</c:formatCode>
                <c:ptCount val="1"/>
                <c:pt idx="0">
                  <c:v>0</c:v>
                </c:pt>
              </c:numCache>
            </c:numRef>
          </c:val>
          <c:smooth val="0"/>
          <c:extLst>
            <c:ext xmlns:c16="http://schemas.microsoft.com/office/drawing/2014/chart" uri="{C3380CC4-5D6E-409C-BE32-E72D297353CC}">
              <c16:uniqueId val="{00000000-68FA-D644-AB91-DE10AEE22B37}"/>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1"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3.5"/>
          <c:min val="-3.5"/>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z-score</a:t>
                </a:r>
              </a:p>
            </c:rich>
          </c:tx>
          <c:overlay val="0"/>
        </c:title>
        <c:numFmt formatCode="0" sourceLinked="0"/>
        <c:majorTickMark val="none"/>
        <c:minorTickMark val="none"/>
        <c:tickLblPos val="nextTo"/>
        <c:spPr>
          <a:noFill/>
          <a:ln w="9525">
            <a:noFill/>
          </a:ln>
          <a:effectLst/>
        </c:spPr>
        <c:txPr>
          <a:bodyPr rot="-60000000" spcFirstLastPara="1" vertOverflow="ellipsis" vert="horz" wrap="square" anchor="ctr" anchorCtr="1"/>
          <a:lstStyle/>
          <a:p>
            <a:pPr>
              <a:defRPr sz="105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majorUnit val="1"/>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spPr>
        <a:ln>
          <a:noFill/>
        </a:ln>
      </c:spPr>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Figures'!$A$144</c:f>
          <c:strCache>
            <c:ptCount val="1"/>
            <c:pt idx="0">
              <c:v>PTSD Checklist for DSM-5 (PCL-5)</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clustered"/>
        <c:varyColors val="0"/>
        <c:ser>
          <c:idx val="5"/>
          <c:order val="0"/>
          <c:tx>
            <c:v>cut_veryhigh</c:v>
          </c:tx>
          <c:spPr>
            <a:solidFill>
              <a:schemeClr val="accent4">
                <a:lumMod val="60000"/>
                <a:lumOff val="40000"/>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80</c:v>
              </c:pt>
            </c:numLit>
          </c:val>
          <c:extLst>
            <c:ext xmlns:c16="http://schemas.microsoft.com/office/drawing/2014/chart" uri="{C3380CC4-5D6E-409C-BE32-E72D297353CC}">
              <c16:uniqueId val="{00000000-7686-A14E-B90A-912F5F11EDA2}"/>
            </c:ext>
          </c:extLst>
        </c:ser>
        <c:ser>
          <c:idx val="3"/>
          <c:order val="1"/>
          <c:tx>
            <c:v>cut_high</c:v>
          </c:tx>
          <c:spPr>
            <a:solidFill>
              <a:schemeClr val="accent3">
                <a:lumMod val="60000"/>
                <a:lumOff val="40000"/>
                <a:alpha val="8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31</c:v>
              </c:pt>
            </c:numLit>
          </c:val>
          <c:extLst>
            <c:ext xmlns:c16="http://schemas.microsoft.com/office/drawing/2014/chart" uri="{C3380CC4-5D6E-409C-BE32-E72D297353CC}">
              <c16:uniqueId val="{00000001-7686-A14E-B90A-912F5F11EDA2}"/>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2"/>
          <c:tx>
            <c:strRef>
              <c:f>'Profile Summary and Figures'!$A$144</c:f>
              <c:strCache>
                <c:ptCount val="1"/>
                <c:pt idx="0">
                  <c:v>PTSD Checklist for DSM-5 (PCL-5)</c:v>
                </c:pt>
              </c:strCache>
            </c:strRef>
          </c:tx>
          <c:marker>
            <c:symbol val="circle"/>
            <c:size val="7"/>
            <c:spPr>
              <a:solidFill>
                <a:schemeClr val="accent1"/>
              </a:solidFill>
              <a:ln>
                <a:solidFill>
                  <a:schemeClr val="accent1">
                    <a:lumMod val="50000"/>
                  </a:schemeClr>
                </a:solidFill>
              </a:ln>
            </c:spPr>
          </c:marker>
          <c:cat>
            <c:strRef>
              <c:f>'Profile Summary and Figures'!$A$146</c:f>
              <c:strCache>
                <c:ptCount val="1"/>
                <c:pt idx="0">
                  <c:v>Total</c:v>
                </c:pt>
              </c:strCache>
            </c:strRef>
          </c:cat>
          <c:val>
            <c:numRef>
              <c:f>'Profile Summary and Figures'!$C$146</c:f>
              <c:numCache>
                <c:formatCode>General</c:formatCode>
                <c:ptCount val="1"/>
                <c:pt idx="0">
                  <c:v>0</c:v>
                </c:pt>
              </c:numCache>
            </c:numRef>
          </c:val>
          <c:smooth val="0"/>
          <c:extLst>
            <c:ext xmlns:c16="http://schemas.microsoft.com/office/drawing/2014/chart" uri="{C3380CC4-5D6E-409C-BE32-E72D297353CC}">
              <c16:uniqueId val="{00000003-7686-A14E-B90A-912F5F11EDA2}"/>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1"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80"/>
          <c:min val="0"/>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Figures'!$A$329</c:f>
          <c:strCache>
            <c:ptCount val="1"/>
            <c:pt idx="0">
              <c:v>Process Model of Emotion Regulation Questionnaire (PMERQ)</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stacked"/>
        <c:varyColors val="0"/>
        <c:ser>
          <c:idx val="0"/>
          <c:order val="0"/>
          <c:tx>
            <c:v>SD-1</c:v>
          </c:tx>
          <c:spPr>
            <a:solidFill>
              <a:schemeClr val="bg1">
                <a:alpha val="50000"/>
              </a:schemeClr>
            </a:solidFill>
            <a:ln w="1905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0"/>
              <c:pt idx="0">
                <c:v>-1</c:v>
              </c:pt>
              <c:pt idx="1">
                <c:v>-1</c:v>
              </c:pt>
              <c:pt idx="2">
                <c:v>-1</c:v>
              </c:pt>
              <c:pt idx="3">
                <c:v>-1</c:v>
              </c:pt>
              <c:pt idx="4">
                <c:v>-1</c:v>
              </c:pt>
              <c:pt idx="5">
                <c:v>-1</c:v>
              </c:pt>
              <c:pt idx="6">
                <c:v>-1</c:v>
              </c:pt>
              <c:pt idx="7">
                <c:v>-1</c:v>
              </c:pt>
              <c:pt idx="8">
                <c:v>-1</c:v>
              </c:pt>
              <c:pt idx="9">
                <c:v>-1</c:v>
              </c:pt>
            </c:numLit>
          </c:val>
          <c:extLst>
            <c:ext xmlns:c16="http://schemas.microsoft.com/office/drawing/2014/chart" uri="{C3380CC4-5D6E-409C-BE32-E72D297353CC}">
              <c16:uniqueId val="{00000000-B17C-3D42-96CF-8B0A0B89F500}"/>
            </c:ext>
          </c:extLst>
        </c:ser>
        <c:ser>
          <c:idx val="1"/>
          <c:order val="1"/>
          <c:tx>
            <c:v>SD1</c:v>
          </c:tx>
          <c:spPr>
            <a:solidFill>
              <a:schemeClr val="bg1">
                <a:alpha val="5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0"/>
              <c:pt idx="0">
                <c:v>1</c:v>
              </c:pt>
              <c:pt idx="1">
                <c:v>1</c:v>
              </c:pt>
              <c:pt idx="2">
                <c:v>1</c:v>
              </c:pt>
              <c:pt idx="3">
                <c:v>1</c:v>
              </c:pt>
              <c:pt idx="4">
                <c:v>1</c:v>
              </c:pt>
              <c:pt idx="5">
                <c:v>1</c:v>
              </c:pt>
              <c:pt idx="6">
                <c:v>1</c:v>
              </c:pt>
              <c:pt idx="7">
                <c:v>1</c:v>
              </c:pt>
              <c:pt idx="8">
                <c:v>1</c:v>
              </c:pt>
              <c:pt idx="9">
                <c:v>1</c:v>
              </c:pt>
            </c:numLit>
          </c:val>
          <c:extLst>
            <c:ext xmlns:c16="http://schemas.microsoft.com/office/drawing/2014/chart" uri="{C3380CC4-5D6E-409C-BE32-E72D297353CC}">
              <c16:uniqueId val="{00000001-B17C-3D42-96CF-8B0A0B89F500}"/>
            </c:ext>
          </c:extLst>
        </c:ser>
        <c:ser>
          <c:idx val="2"/>
          <c:order val="2"/>
          <c:tx>
            <c:v>SDmax</c:v>
          </c:tx>
          <c:spPr>
            <a:solidFill>
              <a:schemeClr val="accent4">
                <a:lumMod val="60000"/>
                <a:lumOff val="40000"/>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0"/>
              <c:pt idx="0">
                <c:v>5</c:v>
              </c:pt>
              <c:pt idx="1">
                <c:v>5</c:v>
              </c:pt>
              <c:pt idx="2">
                <c:v>5</c:v>
              </c:pt>
              <c:pt idx="3">
                <c:v>5</c:v>
              </c:pt>
              <c:pt idx="4">
                <c:v>5</c:v>
              </c:pt>
              <c:pt idx="5">
                <c:v>5</c:v>
              </c:pt>
              <c:pt idx="6">
                <c:v>5</c:v>
              </c:pt>
              <c:pt idx="7">
                <c:v>5</c:v>
              </c:pt>
              <c:pt idx="8">
                <c:v>5</c:v>
              </c:pt>
              <c:pt idx="9">
                <c:v>5</c:v>
              </c:pt>
            </c:numLit>
          </c:val>
          <c:extLst>
            <c:ext xmlns:c16="http://schemas.microsoft.com/office/drawing/2014/chart" uri="{C3380CC4-5D6E-409C-BE32-E72D297353CC}">
              <c16:uniqueId val="{00000002-B17C-3D42-96CF-8B0A0B89F500}"/>
            </c:ext>
          </c:extLst>
        </c:ser>
        <c:ser>
          <c:idx val="3"/>
          <c:order val="3"/>
          <c:tx>
            <c:v>SDmin</c:v>
          </c:tx>
          <c:spPr>
            <a:solidFill>
              <a:schemeClr val="accent4">
                <a:lumMod val="60000"/>
                <a:lumOff val="40000"/>
                <a:alpha val="70000"/>
              </a:schemeClr>
            </a:solidFill>
            <a:ln w="12700"/>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0"/>
              <c:pt idx="0">
                <c:v>-5</c:v>
              </c:pt>
              <c:pt idx="1">
                <c:v>-5</c:v>
              </c:pt>
              <c:pt idx="2">
                <c:v>-5</c:v>
              </c:pt>
              <c:pt idx="3">
                <c:v>-5</c:v>
              </c:pt>
              <c:pt idx="4">
                <c:v>-5</c:v>
              </c:pt>
              <c:pt idx="5">
                <c:v>-5</c:v>
              </c:pt>
              <c:pt idx="6">
                <c:v>-5</c:v>
              </c:pt>
              <c:pt idx="7">
                <c:v>-5</c:v>
              </c:pt>
              <c:pt idx="8">
                <c:v>-5</c:v>
              </c:pt>
              <c:pt idx="9">
                <c:v>-5</c:v>
              </c:pt>
            </c:numLit>
          </c:val>
          <c:extLst>
            <c:ext xmlns:c16="http://schemas.microsoft.com/office/drawing/2014/chart" uri="{C3380CC4-5D6E-409C-BE32-E72D297353CC}">
              <c16:uniqueId val="{00000003-B17C-3D42-96CF-8B0A0B89F500}"/>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4"/>
          <c:tx>
            <c:strRef>
              <c:f>'Profile Summary and Figures'!$A$329</c:f>
              <c:strCache>
                <c:ptCount val="1"/>
                <c:pt idx="0">
                  <c:v>Process Model of Emotion Regulation Questionnaire (PMERQ)</c:v>
                </c:pt>
              </c:strCache>
            </c:strRef>
          </c:tx>
          <c:spPr>
            <a:ln>
              <a:solidFill>
                <a:schemeClr val="accent1"/>
              </a:solidFill>
            </a:ln>
          </c:spPr>
          <c:marker>
            <c:symbol val="circle"/>
            <c:size val="7"/>
            <c:spPr>
              <a:solidFill>
                <a:schemeClr val="accent1"/>
              </a:solidFill>
              <a:ln>
                <a:solidFill>
                  <a:schemeClr val="accent1">
                    <a:lumMod val="50000"/>
                  </a:schemeClr>
                </a:solidFill>
              </a:ln>
              <a:effectLst/>
            </c:spPr>
          </c:marker>
          <c:cat>
            <c:strRef>
              <c:f>'Profile Summary and Figures'!$A$331:$A$340</c:f>
              <c:strCache>
                <c:ptCount val="10"/>
                <c:pt idx="0">
                  <c:v>Confront unpleasant situations</c:v>
                </c:pt>
                <c:pt idx="1">
                  <c:v>Avoid unpleasant situations</c:v>
                </c:pt>
                <c:pt idx="2">
                  <c:v>Resolve conflicts</c:v>
                </c:pt>
                <c:pt idx="3">
                  <c:v>Avoid conflicts</c:v>
                </c:pt>
                <c:pt idx="4">
                  <c:v>Focus elsewhere</c:v>
                </c:pt>
                <c:pt idx="5">
                  <c:v>Cognitively distract</c:v>
                </c:pt>
                <c:pt idx="6">
                  <c:v>Consider benefits</c:v>
                </c:pt>
                <c:pt idx="7">
                  <c:v>Reduce importance</c:v>
                </c:pt>
                <c:pt idx="8">
                  <c:v>Support by emotion sharing</c:v>
                </c:pt>
                <c:pt idx="9">
                  <c:v>Expressive suppression</c:v>
                </c:pt>
              </c:strCache>
            </c:strRef>
          </c:cat>
          <c:val>
            <c:numRef>
              <c:f>'Profile Summary and Figures'!$D$331:$D$340</c:f>
              <c:numCache>
                <c:formatCode>0.000</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6-B17C-3D42-96CF-8B0A0B89F500}"/>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0"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5"/>
          <c:min val="-5"/>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z-score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majorUnit val="1"/>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Figures'!$A$160</c:f>
          <c:strCache>
            <c:ptCount val="1"/>
            <c:pt idx="0">
              <c:v>Eating Disorder Examination Questionnaire (EDE-Q)</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clustered"/>
        <c:varyColors val="0"/>
        <c:ser>
          <c:idx val="5"/>
          <c:order val="0"/>
          <c:tx>
            <c:v>cut_high</c:v>
          </c:tx>
          <c:spPr>
            <a:solidFill>
              <a:srgbClr val="FADD91">
                <a:alpha val="70000"/>
              </a:srgb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6"/>
              <c:pt idx="0">
                <c:v>0</c:v>
              </c:pt>
              <c:pt idx="1">
                <c:v>0</c:v>
              </c:pt>
              <c:pt idx="2">
                <c:v>0</c:v>
              </c:pt>
              <c:pt idx="3">
                <c:v>0</c:v>
              </c:pt>
              <c:pt idx="4">
                <c:v>0</c:v>
              </c:pt>
              <c:pt idx="5">
                <c:v>6</c:v>
              </c:pt>
            </c:numLit>
          </c:val>
          <c:extLst>
            <c:ext xmlns:c16="http://schemas.microsoft.com/office/drawing/2014/chart" uri="{C3380CC4-5D6E-409C-BE32-E72D297353CC}">
              <c16:uniqueId val="{00000000-F219-7C40-97F4-62C121CA43D6}"/>
            </c:ext>
          </c:extLst>
        </c:ser>
        <c:ser>
          <c:idx val="0"/>
          <c:order val="1"/>
          <c:tx>
            <c:v>cut_low</c:v>
          </c:tx>
          <c:spPr>
            <a:solidFill>
              <a:schemeClr val="accent3">
                <a:lumMod val="60000"/>
                <a:lumOff val="40000"/>
                <a:alpha val="8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6"/>
              <c:pt idx="0">
                <c:v>0</c:v>
              </c:pt>
              <c:pt idx="1">
                <c:v>0</c:v>
              </c:pt>
              <c:pt idx="2">
                <c:v>0</c:v>
              </c:pt>
              <c:pt idx="3">
                <c:v>0</c:v>
              </c:pt>
              <c:pt idx="4">
                <c:v>0</c:v>
              </c:pt>
              <c:pt idx="5">
                <c:v>2.8</c:v>
              </c:pt>
            </c:numLit>
          </c:val>
          <c:extLst>
            <c:ext xmlns:c16="http://schemas.microsoft.com/office/drawing/2014/chart" uri="{C3380CC4-5D6E-409C-BE32-E72D297353CC}">
              <c16:uniqueId val="{00000001-F219-7C40-97F4-62C121CA43D6}"/>
            </c:ext>
          </c:extLst>
        </c:ser>
        <c:ser>
          <c:idx val="1"/>
          <c:order val="2"/>
          <c:tx>
            <c:v>cut_NA</c:v>
          </c:tx>
          <c:spPr>
            <a:solidFill>
              <a:schemeClr val="bg1">
                <a:lumMod val="75000"/>
                <a:alpha val="70000"/>
              </a:schemeClr>
            </a:solidFill>
          </c:spPr>
          <c:invertIfNegative val="0"/>
          <c:val>
            <c:numLit>
              <c:formatCode>General</c:formatCode>
              <c:ptCount val="6"/>
              <c:pt idx="0">
                <c:v>10</c:v>
              </c:pt>
              <c:pt idx="1">
                <c:v>10</c:v>
              </c:pt>
              <c:pt idx="2">
                <c:v>10</c:v>
              </c:pt>
              <c:pt idx="3">
                <c:v>10</c:v>
              </c:pt>
              <c:pt idx="4">
                <c:v>0</c:v>
              </c:pt>
              <c:pt idx="5">
                <c:v>0</c:v>
              </c:pt>
            </c:numLit>
          </c:val>
          <c:extLst>
            <c:ext xmlns:c16="http://schemas.microsoft.com/office/drawing/2014/chart" uri="{C3380CC4-5D6E-409C-BE32-E72D297353CC}">
              <c16:uniqueId val="{00000002-F219-7C40-97F4-62C121CA43D6}"/>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3"/>
          <c:tx>
            <c:strRef>
              <c:f>'Profile Summary and Figures'!$A$160</c:f>
              <c:strCache>
                <c:ptCount val="1"/>
                <c:pt idx="0">
                  <c:v>Eating Disorder Examination Questionnaire (EDE-Q)</c:v>
                </c:pt>
              </c:strCache>
            </c:strRef>
          </c:tx>
          <c:spPr>
            <a:ln>
              <a:solidFill>
                <a:schemeClr val="accent1"/>
              </a:solidFill>
            </a:ln>
          </c:spPr>
          <c:marker>
            <c:symbol val="circle"/>
            <c:size val="7"/>
            <c:spPr>
              <a:solidFill>
                <a:schemeClr val="accent1"/>
              </a:solidFill>
              <a:ln>
                <a:solidFill>
                  <a:schemeClr val="accent1">
                    <a:lumMod val="50000"/>
                  </a:schemeClr>
                </a:solidFill>
              </a:ln>
            </c:spPr>
          </c:marker>
          <c:cat>
            <c:strRef>
              <c:f>'Profile Summary and Figures'!$B$162:$B$167</c:f>
              <c:strCache>
                <c:ptCount val="6"/>
                <c:pt idx="0">
                  <c:v>Restraint</c:v>
                </c:pt>
                <c:pt idx="1">
                  <c:v>Eating concern</c:v>
                </c:pt>
                <c:pt idx="2">
                  <c:v>Shape concern</c:v>
                </c:pt>
                <c:pt idx="3">
                  <c:v>Weight concern</c:v>
                </c:pt>
                <c:pt idx="5">
                  <c:v>Global score</c:v>
                </c:pt>
              </c:strCache>
            </c:strRef>
          </c:cat>
          <c:val>
            <c:numRef>
              <c:f>'Profile Summary and Figures'!$C$162:$C$167</c:f>
              <c:numCache>
                <c:formatCode>0.00</c:formatCode>
                <c:ptCount val="6"/>
                <c:pt idx="0">
                  <c:v>0</c:v>
                </c:pt>
                <c:pt idx="1">
                  <c:v>0</c:v>
                </c:pt>
                <c:pt idx="2">
                  <c:v>0</c:v>
                </c:pt>
                <c:pt idx="3">
                  <c:v>0</c:v>
                </c:pt>
                <c:pt idx="5">
                  <c:v>0</c:v>
                </c:pt>
              </c:numCache>
            </c:numRef>
          </c:val>
          <c:smooth val="0"/>
          <c:extLst>
            <c:ext xmlns:c16="http://schemas.microsoft.com/office/drawing/2014/chart" uri="{C3380CC4-5D6E-409C-BE32-E72D297353CC}">
              <c16:uniqueId val="{00000003-F219-7C40-97F4-62C121CA43D6}"/>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0" i="0" u="none" strike="noStrike" kern="1200" baseline="0">
                <a:ln>
                  <a:noFill/>
                </a:ln>
                <a:solidFill>
                  <a:schemeClr val="bg2">
                    <a:lumMod val="75000"/>
                  </a:schemeClr>
                </a:solidFill>
                <a:latin typeface="+mn-lt"/>
                <a:ea typeface="+mn-ea"/>
                <a:cs typeface="+mn-cs"/>
              </a:defRPr>
            </a:pPr>
            <a:endParaRPr lang="en-US"/>
          </a:p>
        </c:txPr>
        <c:crossAx val="1970953087"/>
        <c:crossesAt val="0"/>
        <c:auto val="1"/>
        <c:lblAlgn val="ctr"/>
        <c:lblOffset val="0"/>
        <c:noMultiLvlLbl val="0"/>
      </c:catAx>
      <c:valAx>
        <c:axId val="1970953087"/>
        <c:scaling>
          <c:orientation val="minMax"/>
          <c:max val="6"/>
          <c:min val="0"/>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Figures'!$A$176</c:f>
          <c:strCache>
            <c:ptCount val="1"/>
            <c:pt idx="0">
              <c:v>Eating Disorder Examination Questionnaire-Short (EDE-QS)</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clustered"/>
        <c:varyColors val="0"/>
        <c:ser>
          <c:idx val="5"/>
          <c:order val="0"/>
          <c:tx>
            <c:v>cut_veryhigh</c:v>
          </c:tx>
          <c:spPr>
            <a:solidFill>
              <a:schemeClr val="accent4">
                <a:lumMod val="60000"/>
                <a:lumOff val="40000"/>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36</c:v>
              </c:pt>
            </c:numLit>
          </c:val>
          <c:extLst>
            <c:ext xmlns:c16="http://schemas.microsoft.com/office/drawing/2014/chart" uri="{C3380CC4-5D6E-409C-BE32-E72D297353CC}">
              <c16:uniqueId val="{00000000-40A3-C34F-99DF-6D601B8B60BA}"/>
            </c:ext>
          </c:extLst>
        </c:ser>
        <c:ser>
          <c:idx val="3"/>
          <c:order val="1"/>
          <c:tx>
            <c:v>cut_high</c:v>
          </c:tx>
          <c:spPr>
            <a:solidFill>
              <a:schemeClr val="accent3">
                <a:lumMod val="60000"/>
                <a:lumOff val="40000"/>
                <a:alpha val="8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14</c:v>
              </c:pt>
            </c:numLit>
          </c:val>
          <c:extLst>
            <c:ext xmlns:c16="http://schemas.microsoft.com/office/drawing/2014/chart" uri="{C3380CC4-5D6E-409C-BE32-E72D297353CC}">
              <c16:uniqueId val="{00000001-40A3-C34F-99DF-6D601B8B60BA}"/>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2"/>
          <c:tx>
            <c:strRef>
              <c:f>'Profile Summary and Figures'!$A$176</c:f>
              <c:strCache>
                <c:ptCount val="1"/>
                <c:pt idx="0">
                  <c:v>Eating Disorder Examination Questionnaire-Short (EDE-QS)</c:v>
                </c:pt>
              </c:strCache>
            </c:strRef>
          </c:tx>
          <c:spPr>
            <a:ln>
              <a:solidFill>
                <a:schemeClr val="bg2"/>
              </a:solidFill>
            </a:ln>
          </c:spPr>
          <c:marker>
            <c:symbol val="circle"/>
            <c:size val="7"/>
            <c:spPr>
              <a:solidFill>
                <a:schemeClr val="accent1"/>
              </a:solidFill>
              <a:ln>
                <a:solidFill>
                  <a:schemeClr val="accent1">
                    <a:lumMod val="50000"/>
                  </a:schemeClr>
                </a:solidFill>
              </a:ln>
            </c:spPr>
          </c:marker>
          <c:cat>
            <c:strRef>
              <c:f>'Profile Summary and Figures'!$A$178</c:f>
              <c:strCache>
                <c:ptCount val="1"/>
                <c:pt idx="0">
                  <c:v>Total</c:v>
                </c:pt>
              </c:strCache>
            </c:strRef>
          </c:cat>
          <c:val>
            <c:numRef>
              <c:f>'Profile Summary and Figures'!$C$178</c:f>
              <c:numCache>
                <c:formatCode>0</c:formatCode>
                <c:ptCount val="1"/>
                <c:pt idx="0">
                  <c:v>0</c:v>
                </c:pt>
              </c:numCache>
            </c:numRef>
          </c:val>
          <c:smooth val="0"/>
          <c:extLst>
            <c:ext xmlns:c16="http://schemas.microsoft.com/office/drawing/2014/chart" uri="{C3380CC4-5D6E-409C-BE32-E72D297353CC}">
              <c16:uniqueId val="{00000002-40A3-C34F-99DF-6D601B8B60BA}"/>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1"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36"/>
          <c:min val="0"/>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Figures'!$A$109</c:f>
          <c:strCache>
            <c:ptCount val="1"/>
            <c:pt idx="0">
              <c:v>Beck Anxiety Inventory (BAI)</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clustered"/>
        <c:varyColors val="0"/>
        <c:ser>
          <c:idx val="5"/>
          <c:order val="0"/>
          <c:tx>
            <c:v>cut_veryhigh</c:v>
          </c:tx>
          <c:spPr>
            <a:solidFill>
              <a:schemeClr val="accent6">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63</c:v>
              </c:pt>
            </c:numLit>
          </c:val>
          <c:extLst>
            <c:ext xmlns:c16="http://schemas.microsoft.com/office/drawing/2014/chart" uri="{C3380CC4-5D6E-409C-BE32-E72D297353CC}">
              <c16:uniqueId val="{00000000-4651-2349-B991-306A3E843C0F}"/>
            </c:ext>
          </c:extLst>
        </c:ser>
        <c:ser>
          <c:idx val="3"/>
          <c:order val="1"/>
          <c:tx>
            <c:v>cut_high</c:v>
          </c:tx>
          <c:spPr>
            <a:solidFill>
              <a:schemeClr val="accent5">
                <a:alpha val="7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25</c:v>
              </c:pt>
            </c:numLit>
          </c:val>
          <c:extLst>
            <c:ext xmlns:c16="http://schemas.microsoft.com/office/drawing/2014/chart" uri="{C3380CC4-5D6E-409C-BE32-E72D297353CC}">
              <c16:uniqueId val="{00000001-4651-2349-B991-306A3E843C0F}"/>
            </c:ext>
          </c:extLst>
        </c:ser>
        <c:ser>
          <c:idx val="0"/>
          <c:order val="2"/>
          <c:tx>
            <c:v>cut_moderate</c:v>
          </c:tx>
          <c:spPr>
            <a:solidFill>
              <a:schemeClr val="accent4">
                <a:lumMod val="60000"/>
                <a:lumOff val="40000"/>
                <a:alpha val="7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15</c:v>
              </c:pt>
            </c:numLit>
          </c:val>
          <c:extLst>
            <c:ext xmlns:c16="http://schemas.microsoft.com/office/drawing/2014/chart" uri="{C3380CC4-5D6E-409C-BE32-E72D297353CC}">
              <c16:uniqueId val="{00000002-4651-2349-B991-306A3E843C0F}"/>
            </c:ext>
          </c:extLst>
        </c:ser>
        <c:ser>
          <c:idx val="1"/>
          <c:order val="3"/>
          <c:tx>
            <c:v>cut_low</c:v>
          </c:tx>
          <c:spPr>
            <a:solidFill>
              <a:schemeClr val="accent3">
                <a:lumMod val="60000"/>
                <a:lumOff val="40000"/>
                <a:alpha val="80000"/>
              </a:schemeClr>
            </a:solidFill>
            <a:ln w="1905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7</c:v>
              </c:pt>
            </c:numLit>
          </c:val>
          <c:extLst>
            <c:ext xmlns:c16="http://schemas.microsoft.com/office/drawing/2014/chart" uri="{C3380CC4-5D6E-409C-BE32-E72D297353CC}">
              <c16:uniqueId val="{00000003-4651-2349-B991-306A3E843C0F}"/>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4"/>
          <c:tx>
            <c:strRef>
              <c:f>'Profile Summary and Figures'!$A$109</c:f>
              <c:strCache>
                <c:ptCount val="1"/>
                <c:pt idx="0">
                  <c:v>Beck Anxiety Inventory (BAI)</c:v>
                </c:pt>
              </c:strCache>
            </c:strRef>
          </c:tx>
          <c:marker>
            <c:symbol val="circle"/>
            <c:size val="7"/>
            <c:spPr>
              <a:solidFill>
                <a:schemeClr val="accent1"/>
              </a:solidFill>
              <a:ln>
                <a:solidFill>
                  <a:schemeClr val="accent1">
                    <a:lumMod val="50000"/>
                  </a:schemeClr>
                </a:solidFill>
              </a:ln>
            </c:spPr>
          </c:marker>
          <c:cat>
            <c:strRef>
              <c:f>'Profile Summary and Figures'!$A$111</c:f>
              <c:strCache>
                <c:ptCount val="1"/>
                <c:pt idx="0">
                  <c:v>Total</c:v>
                </c:pt>
              </c:strCache>
            </c:strRef>
          </c:cat>
          <c:val>
            <c:numRef>
              <c:f>'Profile Summary and Figures'!$C$111</c:f>
              <c:numCache>
                <c:formatCode>General</c:formatCode>
                <c:ptCount val="1"/>
                <c:pt idx="0">
                  <c:v>0</c:v>
                </c:pt>
              </c:numCache>
            </c:numRef>
          </c:val>
          <c:smooth val="0"/>
          <c:extLst>
            <c:ext xmlns:c16="http://schemas.microsoft.com/office/drawing/2014/chart" uri="{C3380CC4-5D6E-409C-BE32-E72D297353CC}">
              <c16:uniqueId val="{00000004-4651-2349-B991-306A3E843C0F}"/>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1"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63"/>
          <c:min val="0"/>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Figures'!$A$93</c:f>
          <c:strCache>
            <c:ptCount val="1"/>
            <c:pt idx="0">
              <c:v>Beck Depression Inventory-II (BDI-II)</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clustered"/>
        <c:varyColors val="0"/>
        <c:ser>
          <c:idx val="5"/>
          <c:order val="0"/>
          <c:tx>
            <c:v>cut_veryhigh</c:v>
          </c:tx>
          <c:spPr>
            <a:solidFill>
              <a:schemeClr val="accent6">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63</c:v>
              </c:pt>
            </c:numLit>
          </c:val>
          <c:extLst>
            <c:ext xmlns:c16="http://schemas.microsoft.com/office/drawing/2014/chart" uri="{C3380CC4-5D6E-409C-BE32-E72D297353CC}">
              <c16:uniqueId val="{00000000-4266-4D47-9505-200B2A4B31F5}"/>
            </c:ext>
          </c:extLst>
        </c:ser>
        <c:ser>
          <c:idx val="3"/>
          <c:order val="1"/>
          <c:tx>
            <c:v>cut_high</c:v>
          </c:tx>
          <c:spPr>
            <a:solidFill>
              <a:schemeClr val="accent5">
                <a:alpha val="7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28</c:v>
              </c:pt>
            </c:numLit>
          </c:val>
          <c:extLst>
            <c:ext xmlns:c16="http://schemas.microsoft.com/office/drawing/2014/chart" uri="{C3380CC4-5D6E-409C-BE32-E72D297353CC}">
              <c16:uniqueId val="{00000001-4266-4D47-9505-200B2A4B31F5}"/>
            </c:ext>
          </c:extLst>
        </c:ser>
        <c:ser>
          <c:idx val="0"/>
          <c:order val="2"/>
          <c:tx>
            <c:v>cut_moderate</c:v>
          </c:tx>
          <c:spPr>
            <a:solidFill>
              <a:schemeClr val="accent4">
                <a:lumMod val="60000"/>
                <a:lumOff val="40000"/>
                <a:alpha val="7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19</c:v>
              </c:pt>
            </c:numLit>
          </c:val>
          <c:extLst>
            <c:ext xmlns:c16="http://schemas.microsoft.com/office/drawing/2014/chart" uri="{C3380CC4-5D6E-409C-BE32-E72D297353CC}">
              <c16:uniqueId val="{00000002-4266-4D47-9505-200B2A4B31F5}"/>
            </c:ext>
          </c:extLst>
        </c:ser>
        <c:ser>
          <c:idx val="1"/>
          <c:order val="3"/>
          <c:tx>
            <c:v>cut_low</c:v>
          </c:tx>
          <c:spPr>
            <a:solidFill>
              <a:schemeClr val="accent3">
                <a:lumMod val="60000"/>
                <a:lumOff val="40000"/>
                <a:alpha val="80000"/>
              </a:schemeClr>
            </a:solidFill>
            <a:ln w="1905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1"/>
              <c:pt idx="0">
                <c:v>13</c:v>
              </c:pt>
            </c:numLit>
          </c:val>
          <c:extLst>
            <c:ext xmlns:c16="http://schemas.microsoft.com/office/drawing/2014/chart" uri="{C3380CC4-5D6E-409C-BE32-E72D297353CC}">
              <c16:uniqueId val="{00000003-4266-4D47-9505-200B2A4B31F5}"/>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4"/>
          <c:tx>
            <c:strRef>
              <c:f>'Profile Summary and Figures'!$A$93</c:f>
              <c:strCache>
                <c:ptCount val="1"/>
                <c:pt idx="0">
                  <c:v>Beck Depression Inventory-II (BDI-II)</c:v>
                </c:pt>
              </c:strCache>
            </c:strRef>
          </c:tx>
          <c:marker>
            <c:symbol val="circle"/>
            <c:size val="7"/>
            <c:spPr>
              <a:solidFill>
                <a:schemeClr val="accent1"/>
              </a:solidFill>
              <a:ln>
                <a:solidFill>
                  <a:schemeClr val="accent1">
                    <a:lumMod val="50000"/>
                  </a:schemeClr>
                </a:solidFill>
              </a:ln>
            </c:spPr>
          </c:marker>
          <c:cat>
            <c:strRef>
              <c:f>'Profile Summary and Figures'!$A$95</c:f>
              <c:strCache>
                <c:ptCount val="1"/>
                <c:pt idx="0">
                  <c:v>Total</c:v>
                </c:pt>
              </c:strCache>
            </c:strRef>
          </c:cat>
          <c:val>
            <c:numRef>
              <c:f>'Profile Summary and Figures'!$C$95</c:f>
              <c:numCache>
                <c:formatCode>General</c:formatCode>
                <c:ptCount val="1"/>
                <c:pt idx="0">
                  <c:v>0</c:v>
                </c:pt>
              </c:numCache>
            </c:numRef>
          </c:val>
          <c:smooth val="0"/>
          <c:extLst>
            <c:ext xmlns:c16="http://schemas.microsoft.com/office/drawing/2014/chart" uri="{C3380CC4-5D6E-409C-BE32-E72D297353CC}">
              <c16:uniqueId val="{00000004-4266-4D47-9505-200B2A4B31F5}"/>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1"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63"/>
          <c:min val="0"/>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Figures'!$A$485</c:f>
          <c:strCache>
            <c:ptCount val="1"/>
            <c:pt idx="0">
              <c:v>Young Schema Questionnaire-Revised (YSQ-R)</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clustered"/>
        <c:varyColors val="0"/>
        <c:ser>
          <c:idx val="6"/>
          <c:order val="0"/>
          <c:tx>
            <c:v>cut_high</c:v>
          </c:tx>
          <c:spPr>
            <a:solidFill>
              <a:schemeClr val="accent5">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20"/>
              <c:pt idx="0">
                <c:v>7</c:v>
              </c:pt>
              <c:pt idx="1">
                <c:v>7</c:v>
              </c:pt>
              <c:pt idx="2">
                <c:v>7</c:v>
              </c:pt>
              <c:pt idx="3">
                <c:v>7</c:v>
              </c:pt>
              <c:pt idx="4">
                <c:v>7</c:v>
              </c:pt>
              <c:pt idx="5">
                <c:v>7</c:v>
              </c:pt>
              <c:pt idx="6">
                <c:v>7</c:v>
              </c:pt>
              <c:pt idx="7">
                <c:v>7</c:v>
              </c:pt>
              <c:pt idx="8">
                <c:v>7</c:v>
              </c:pt>
              <c:pt idx="9">
                <c:v>7</c:v>
              </c:pt>
              <c:pt idx="10">
                <c:v>7</c:v>
              </c:pt>
              <c:pt idx="11">
                <c:v>7</c:v>
              </c:pt>
              <c:pt idx="12">
                <c:v>7</c:v>
              </c:pt>
              <c:pt idx="13">
                <c:v>7</c:v>
              </c:pt>
              <c:pt idx="14">
                <c:v>7</c:v>
              </c:pt>
              <c:pt idx="15">
                <c:v>7</c:v>
              </c:pt>
              <c:pt idx="16">
                <c:v>7</c:v>
              </c:pt>
              <c:pt idx="17">
                <c:v>7</c:v>
              </c:pt>
              <c:pt idx="18">
                <c:v>7</c:v>
              </c:pt>
              <c:pt idx="19">
                <c:v>7</c:v>
              </c:pt>
            </c:numLit>
          </c:val>
          <c:extLst>
            <c:ext xmlns:c16="http://schemas.microsoft.com/office/drawing/2014/chart" uri="{C3380CC4-5D6E-409C-BE32-E72D297353CC}">
              <c16:uniqueId val="{00000000-50E6-454F-9A81-38AD8E8352BA}"/>
            </c:ext>
          </c:extLst>
        </c:ser>
        <c:ser>
          <c:idx val="0"/>
          <c:order val="1"/>
          <c:tx>
            <c:v>cut_mod</c:v>
          </c:tx>
          <c:spPr>
            <a:solidFill>
              <a:schemeClr val="accent4">
                <a:lumMod val="60000"/>
                <a:lumOff val="40000"/>
                <a:alpha val="70000"/>
              </a:schemeClr>
            </a:solidFill>
          </c:spPr>
          <c:invertIfNegative val="0"/>
          <c:val>
            <c:numLit>
              <c:formatCode>General</c:formatCode>
              <c:ptCount val="20"/>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numLit>
          </c:val>
          <c:extLst>
            <c:ext xmlns:c16="http://schemas.microsoft.com/office/drawing/2014/chart" uri="{C3380CC4-5D6E-409C-BE32-E72D297353CC}">
              <c16:uniqueId val="{00000003-50E6-454F-9A81-38AD8E8352BA}"/>
            </c:ext>
          </c:extLst>
        </c:ser>
        <c:ser>
          <c:idx val="5"/>
          <c:order val="2"/>
          <c:tx>
            <c:v>cut_low</c:v>
          </c:tx>
          <c:spPr>
            <a:solidFill>
              <a:schemeClr val="accent3">
                <a:lumMod val="60000"/>
                <a:lumOff val="40000"/>
                <a:alpha val="80000"/>
              </a:schemeClr>
            </a:solidFill>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20"/>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numLit>
          </c:val>
          <c:extLst>
            <c:ext xmlns:c16="http://schemas.microsoft.com/office/drawing/2014/chart" uri="{C3380CC4-5D6E-409C-BE32-E72D297353CC}">
              <c16:uniqueId val="{00000001-50E6-454F-9A81-38AD8E8352BA}"/>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3"/>
          <c:tx>
            <c:strRef>
              <c:f>'Profile Summary and Figures'!$A$485</c:f>
              <c:strCache>
                <c:ptCount val="1"/>
                <c:pt idx="0">
                  <c:v>Young Schema Questionnaire-Revised (YSQ-R)</c:v>
                </c:pt>
              </c:strCache>
            </c:strRef>
          </c:tx>
          <c:spPr>
            <a:ln>
              <a:solidFill>
                <a:schemeClr val="accent1"/>
              </a:solidFill>
            </a:ln>
          </c:spPr>
          <c:marker>
            <c:symbol val="circle"/>
            <c:size val="7"/>
            <c:spPr>
              <a:solidFill>
                <a:schemeClr val="accent1"/>
              </a:solidFill>
              <a:ln>
                <a:solidFill>
                  <a:schemeClr val="accent1">
                    <a:lumMod val="50000"/>
                  </a:schemeClr>
                </a:solidFill>
              </a:ln>
            </c:spPr>
          </c:marker>
          <c:cat>
            <c:strRef>
              <c:f>'Profile Summary and Figures'!$B$487:$B$506</c:f>
              <c:strCache>
                <c:ptCount val="20"/>
                <c:pt idx="0">
                  <c:v>Emotional deprivation</c:v>
                </c:pt>
                <c:pt idx="1">
                  <c:v>Abandonment</c:v>
                </c:pt>
                <c:pt idx="2">
                  <c:v>Mistrust / Abuse</c:v>
                </c:pt>
                <c:pt idx="3">
                  <c:v>Social isolation</c:v>
                </c:pt>
                <c:pt idx="4">
                  <c:v>Defectiveness / Shame</c:v>
                </c:pt>
                <c:pt idx="5">
                  <c:v>Failure</c:v>
                </c:pt>
                <c:pt idx="6">
                  <c:v>Dependence / Incompetence</c:v>
                </c:pt>
                <c:pt idx="7">
                  <c:v>Vulnerability to harm</c:v>
                </c:pt>
                <c:pt idx="8">
                  <c:v>Enmeshment</c:v>
                </c:pt>
                <c:pt idx="9">
                  <c:v>Subjugation</c:v>
                </c:pt>
                <c:pt idx="10">
                  <c:v>Self-sacrifice</c:v>
                </c:pt>
                <c:pt idx="11">
                  <c:v>Fear of losing control</c:v>
                </c:pt>
                <c:pt idx="12">
                  <c:v>Emotional constriction</c:v>
                </c:pt>
                <c:pt idx="13">
                  <c:v>Unrelenting standards</c:v>
                </c:pt>
                <c:pt idx="14">
                  <c:v>Entitlement</c:v>
                </c:pt>
                <c:pt idx="15">
                  <c:v>Insufficient self control</c:v>
                </c:pt>
                <c:pt idx="16">
                  <c:v>Approval-seeking</c:v>
                </c:pt>
                <c:pt idx="17">
                  <c:v>Negativity / Pessimism</c:v>
                </c:pt>
                <c:pt idx="18">
                  <c:v>Punitiveness (self directed)</c:v>
                </c:pt>
                <c:pt idx="19">
                  <c:v>Punitiveness (other directed)</c:v>
                </c:pt>
              </c:strCache>
            </c:strRef>
          </c:cat>
          <c:val>
            <c:numRef>
              <c:f>'Profile Summary and Figures'!$C$487:$C$506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2-50E6-454F-9A81-38AD8E8352BA}"/>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gradFill flip="none" rotWithShape="1">
                <a:gsLst>
                  <a:gs pos="59000">
                    <a:schemeClr val="tx1"/>
                  </a:gs>
                  <a:gs pos="79000">
                    <a:schemeClr val="bg2"/>
                  </a:gs>
                  <a:gs pos="60000">
                    <a:schemeClr val="bg2"/>
                  </a:gs>
                  <a:gs pos="80000">
                    <a:schemeClr val="bg2">
                      <a:lumMod val="40000"/>
                      <a:lumOff val="60000"/>
                    </a:schemeClr>
                  </a:gs>
                </a:gsLst>
                <a:lin ang="16200000" scaled="1"/>
                <a:tileRect/>
              </a:gra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0" i="0" u="none" strike="noStrike" kern="1200" baseline="0">
                <a:ln>
                  <a:noFill/>
                </a:ln>
                <a:solidFill>
                  <a:schemeClr val="bg2">
                    <a:lumMod val="75000"/>
                  </a:schemeClr>
                </a:solidFill>
                <a:latin typeface="+mn-lt"/>
                <a:ea typeface="+mn-ea"/>
                <a:cs typeface="+mn-cs"/>
              </a:defRPr>
            </a:pPr>
            <a:endParaRPr lang="en-US"/>
          </a:p>
        </c:txPr>
        <c:crossAx val="1970953087"/>
        <c:crossesAt val="0"/>
        <c:auto val="1"/>
        <c:lblAlgn val="ctr"/>
        <c:lblOffset val="0"/>
        <c:noMultiLvlLbl val="0"/>
      </c:catAx>
      <c:valAx>
        <c:axId val="1970953087"/>
        <c:scaling>
          <c:orientation val="minMax"/>
          <c:max val="6"/>
          <c:min val="1"/>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majorUnit val="1"/>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Figures'!$A$281</c:f>
          <c:strCache>
            <c:ptCount val="1"/>
            <c:pt idx="0">
              <c:v>Perth Emotional Reactivity Scale - Short Form (PERS-S)</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stacked"/>
        <c:varyColors val="0"/>
        <c:ser>
          <c:idx val="0"/>
          <c:order val="0"/>
          <c:tx>
            <c:v>SD-1</c:v>
          </c:tx>
          <c:spPr>
            <a:solidFill>
              <a:schemeClr val="bg1">
                <a:alpha val="50000"/>
              </a:schemeClr>
            </a:solidFill>
            <a:ln w="1905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9"/>
              <c:pt idx="0">
                <c:v>-1</c:v>
              </c:pt>
              <c:pt idx="1">
                <c:v>-1</c:v>
              </c:pt>
              <c:pt idx="2">
                <c:v>-1</c:v>
              </c:pt>
              <c:pt idx="3">
                <c:v>-1</c:v>
              </c:pt>
              <c:pt idx="4">
                <c:v>-1</c:v>
              </c:pt>
              <c:pt idx="5">
                <c:v>-1</c:v>
              </c:pt>
              <c:pt idx="6">
                <c:v>-1</c:v>
              </c:pt>
              <c:pt idx="7">
                <c:v>-1</c:v>
              </c:pt>
              <c:pt idx="8">
                <c:v>-1</c:v>
              </c:pt>
            </c:numLit>
          </c:val>
          <c:extLst>
            <c:ext xmlns:c16="http://schemas.microsoft.com/office/drawing/2014/chart" uri="{C3380CC4-5D6E-409C-BE32-E72D297353CC}">
              <c16:uniqueId val="{00000000-FEC2-9947-AF75-E66C48007AA7}"/>
            </c:ext>
          </c:extLst>
        </c:ser>
        <c:ser>
          <c:idx val="1"/>
          <c:order val="1"/>
          <c:tx>
            <c:v>SD1</c:v>
          </c:tx>
          <c:spPr>
            <a:solidFill>
              <a:schemeClr val="bg1">
                <a:alpha val="5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9"/>
              <c:pt idx="0">
                <c:v>1</c:v>
              </c:pt>
              <c:pt idx="1">
                <c:v>1</c:v>
              </c:pt>
              <c:pt idx="2">
                <c:v>1</c:v>
              </c:pt>
              <c:pt idx="3">
                <c:v>1</c:v>
              </c:pt>
              <c:pt idx="4">
                <c:v>1</c:v>
              </c:pt>
              <c:pt idx="5">
                <c:v>1</c:v>
              </c:pt>
              <c:pt idx="6">
                <c:v>1</c:v>
              </c:pt>
              <c:pt idx="7">
                <c:v>1</c:v>
              </c:pt>
              <c:pt idx="8">
                <c:v>1</c:v>
              </c:pt>
            </c:numLit>
          </c:val>
          <c:extLst>
            <c:ext xmlns:c16="http://schemas.microsoft.com/office/drawing/2014/chart" uri="{C3380CC4-5D6E-409C-BE32-E72D297353CC}">
              <c16:uniqueId val="{00000001-FEC2-9947-AF75-E66C48007AA7}"/>
            </c:ext>
          </c:extLst>
        </c:ser>
        <c:ser>
          <c:idx val="2"/>
          <c:order val="2"/>
          <c:tx>
            <c:v>SDmax</c:v>
          </c:tx>
          <c:spPr>
            <a:solidFill>
              <a:schemeClr val="accent4">
                <a:lumMod val="60000"/>
                <a:lumOff val="40000"/>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9"/>
              <c:pt idx="0">
                <c:v>5</c:v>
              </c:pt>
              <c:pt idx="1">
                <c:v>5</c:v>
              </c:pt>
              <c:pt idx="2">
                <c:v>5</c:v>
              </c:pt>
              <c:pt idx="3">
                <c:v>5</c:v>
              </c:pt>
              <c:pt idx="4">
                <c:v>5</c:v>
              </c:pt>
              <c:pt idx="5">
                <c:v>5</c:v>
              </c:pt>
              <c:pt idx="6">
                <c:v>0</c:v>
              </c:pt>
              <c:pt idx="7">
                <c:v>5</c:v>
              </c:pt>
              <c:pt idx="8">
                <c:v>5</c:v>
              </c:pt>
            </c:numLit>
          </c:val>
          <c:extLst>
            <c:ext xmlns:c16="http://schemas.microsoft.com/office/drawing/2014/chart" uri="{C3380CC4-5D6E-409C-BE32-E72D297353CC}">
              <c16:uniqueId val="{00000002-FEC2-9947-AF75-E66C48007AA7}"/>
            </c:ext>
          </c:extLst>
        </c:ser>
        <c:ser>
          <c:idx val="3"/>
          <c:order val="3"/>
          <c:tx>
            <c:v>SDmin</c:v>
          </c:tx>
          <c:spPr>
            <a:solidFill>
              <a:schemeClr val="accent4">
                <a:lumMod val="60000"/>
                <a:lumOff val="40000"/>
                <a:alpha val="70000"/>
              </a:schemeClr>
            </a:solidFill>
            <a:ln w="12700"/>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9"/>
              <c:pt idx="0">
                <c:v>-5</c:v>
              </c:pt>
              <c:pt idx="1">
                <c:v>-5</c:v>
              </c:pt>
              <c:pt idx="2">
                <c:v>-5</c:v>
              </c:pt>
              <c:pt idx="3">
                <c:v>-5</c:v>
              </c:pt>
              <c:pt idx="4">
                <c:v>-5</c:v>
              </c:pt>
              <c:pt idx="5">
                <c:v>-5</c:v>
              </c:pt>
              <c:pt idx="6">
                <c:v>0</c:v>
              </c:pt>
              <c:pt idx="7">
                <c:v>-5</c:v>
              </c:pt>
              <c:pt idx="8">
                <c:v>-5</c:v>
              </c:pt>
            </c:numLit>
          </c:val>
          <c:extLst>
            <c:ext xmlns:c16="http://schemas.microsoft.com/office/drawing/2014/chart" uri="{C3380CC4-5D6E-409C-BE32-E72D297353CC}">
              <c16:uniqueId val="{00000003-FEC2-9947-AF75-E66C48007AA7}"/>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4"/>
          <c:tx>
            <c:strRef>
              <c:f>'Profile Summary and Figures'!$A$281</c:f>
              <c:strCache>
                <c:ptCount val="1"/>
                <c:pt idx="0">
                  <c:v>Perth Emotional Reactivity Scale - Short Form (PERS-S)</c:v>
                </c:pt>
              </c:strCache>
            </c:strRef>
          </c:tx>
          <c:spPr>
            <a:ln>
              <a:solidFill>
                <a:schemeClr val="dk1"/>
              </a:solidFill>
            </a:ln>
          </c:spPr>
          <c:marker>
            <c:symbol val="circle"/>
            <c:size val="7"/>
            <c:spPr>
              <a:solidFill>
                <a:schemeClr val="accent1"/>
              </a:solidFill>
              <a:ln>
                <a:solidFill>
                  <a:schemeClr val="accent1">
                    <a:lumMod val="50000"/>
                  </a:schemeClr>
                </a:solidFill>
              </a:ln>
              <a:effectLst/>
            </c:spPr>
          </c:marker>
          <c:cat>
            <c:strRef>
              <c:f>'Profile Summary and Figures'!$B$283:$B$291</c:f>
              <c:strCache>
                <c:ptCount val="9"/>
                <c:pt idx="0">
                  <c:v>Neg-Act</c:v>
                </c:pt>
                <c:pt idx="1">
                  <c:v>Neg-Int</c:v>
                </c:pt>
                <c:pt idx="2">
                  <c:v>Neg-Dur</c:v>
                </c:pt>
                <c:pt idx="3">
                  <c:v>Pos-Act</c:v>
                </c:pt>
                <c:pt idx="4">
                  <c:v>Pos-Int</c:v>
                </c:pt>
                <c:pt idx="5">
                  <c:v>Pos-Dur</c:v>
                </c:pt>
                <c:pt idx="7">
                  <c:v>Neg-Reac</c:v>
                </c:pt>
                <c:pt idx="8">
                  <c:v>Pos-Reac</c:v>
                </c:pt>
              </c:strCache>
            </c:strRef>
          </c:cat>
          <c:val>
            <c:numRef>
              <c:f>'Profile Summary and Figures'!$D$283:$D$291</c:f>
              <c:numCache>
                <c:formatCode>General</c:formatCode>
                <c:ptCount val="9"/>
                <c:pt idx="0">
                  <c:v>0</c:v>
                </c:pt>
                <c:pt idx="1">
                  <c:v>0</c:v>
                </c:pt>
                <c:pt idx="2">
                  <c:v>0</c:v>
                </c:pt>
                <c:pt idx="3">
                  <c:v>0</c:v>
                </c:pt>
                <c:pt idx="4">
                  <c:v>0</c:v>
                </c:pt>
                <c:pt idx="5">
                  <c:v>0</c:v>
                </c:pt>
                <c:pt idx="7">
                  <c:v>0</c:v>
                </c:pt>
                <c:pt idx="8">
                  <c:v>0</c:v>
                </c:pt>
              </c:numCache>
            </c:numRef>
          </c:val>
          <c:smooth val="0"/>
          <c:extLst>
            <c:ext xmlns:c16="http://schemas.microsoft.com/office/drawing/2014/chart" uri="{C3380CC4-5D6E-409C-BE32-E72D297353CC}">
              <c16:uniqueId val="{00000004-FEC2-9947-AF75-E66C48007AA7}"/>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0"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4.5"/>
          <c:min val="-4.5"/>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z-score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majorUnit val="1"/>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'Profile Summary and Figures'!$A$469</c:f>
          <c:strCache>
            <c:ptCount val="1"/>
            <c:pt idx="0">
              <c:v>The Personality Inventory for DSM-5 - Brief Form (PID-5-BF)</c:v>
            </c:pt>
          </c:strCache>
        </c:strRef>
      </c:tx>
      <c:overlay val="0"/>
      <c:txPr>
        <a:bodyPr/>
        <a:lstStyle/>
        <a:p>
          <a:pPr>
            <a:defRPr sz="1200">
              <a:solidFill>
                <a:schemeClr val="bg2">
                  <a:lumMod val="75000"/>
                </a:schemeClr>
              </a:solidFill>
              <a:latin typeface="Century Gothic" panose="020B0502020202020204" pitchFamily="34" charset="0"/>
            </a:defRPr>
          </a:pPr>
          <a:endParaRPr lang="en-US"/>
        </a:p>
      </c:txPr>
    </c:title>
    <c:autoTitleDeleted val="0"/>
    <c:plotArea>
      <c:layout/>
      <c:barChart>
        <c:barDir val="col"/>
        <c:grouping val="stacked"/>
        <c:varyColors val="0"/>
        <c:ser>
          <c:idx val="0"/>
          <c:order val="0"/>
          <c:tx>
            <c:v>SD-1</c:v>
          </c:tx>
          <c:spPr>
            <a:solidFill>
              <a:schemeClr val="bg1">
                <a:alpha val="50000"/>
              </a:schemeClr>
            </a:solidFill>
            <a:ln w="1905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5"/>
              <c:pt idx="0">
                <c:v>-1</c:v>
              </c:pt>
              <c:pt idx="1">
                <c:v>-1</c:v>
              </c:pt>
              <c:pt idx="2">
                <c:v>-1</c:v>
              </c:pt>
              <c:pt idx="3">
                <c:v>-1</c:v>
              </c:pt>
              <c:pt idx="4">
                <c:v>-1</c:v>
              </c:pt>
            </c:numLit>
          </c:val>
          <c:extLst>
            <c:ext xmlns:c16="http://schemas.microsoft.com/office/drawing/2014/chart" uri="{C3380CC4-5D6E-409C-BE32-E72D297353CC}">
              <c16:uniqueId val="{00000000-3C92-934A-AE40-19CA0896B804}"/>
            </c:ext>
          </c:extLst>
        </c:ser>
        <c:ser>
          <c:idx val="1"/>
          <c:order val="1"/>
          <c:tx>
            <c:v>SD1</c:v>
          </c:tx>
          <c:spPr>
            <a:solidFill>
              <a:schemeClr val="bg1">
                <a:alpha val="5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5"/>
              <c:pt idx="0">
                <c:v>1</c:v>
              </c:pt>
              <c:pt idx="1">
                <c:v>1</c:v>
              </c:pt>
              <c:pt idx="2">
                <c:v>1</c:v>
              </c:pt>
              <c:pt idx="3">
                <c:v>1</c:v>
              </c:pt>
              <c:pt idx="4">
                <c:v>1</c:v>
              </c:pt>
            </c:numLit>
          </c:val>
          <c:extLst>
            <c:ext xmlns:c16="http://schemas.microsoft.com/office/drawing/2014/chart" uri="{C3380CC4-5D6E-409C-BE32-E72D297353CC}">
              <c16:uniqueId val="{00000001-3C92-934A-AE40-19CA0896B804}"/>
            </c:ext>
          </c:extLst>
        </c:ser>
        <c:ser>
          <c:idx val="2"/>
          <c:order val="2"/>
          <c:tx>
            <c:v>SDmax</c:v>
          </c:tx>
          <c:spPr>
            <a:solidFill>
              <a:schemeClr val="accent4">
                <a:lumMod val="60000"/>
                <a:lumOff val="40000"/>
                <a:alpha val="70000"/>
              </a:schemeClr>
            </a:solidFill>
            <a:ln w="12700" cap="rnd">
              <a:noFill/>
              <a:round/>
            </a:ln>
            <a:effectLst/>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5"/>
              <c:pt idx="0">
                <c:v>7</c:v>
              </c:pt>
              <c:pt idx="1">
                <c:v>7</c:v>
              </c:pt>
              <c:pt idx="2">
                <c:v>7</c:v>
              </c:pt>
              <c:pt idx="3">
                <c:v>7</c:v>
              </c:pt>
              <c:pt idx="4">
                <c:v>7</c:v>
              </c:pt>
            </c:numLit>
          </c:val>
          <c:extLst>
            <c:ext xmlns:c16="http://schemas.microsoft.com/office/drawing/2014/chart" uri="{C3380CC4-5D6E-409C-BE32-E72D297353CC}">
              <c16:uniqueId val="{00000002-3C92-934A-AE40-19CA0896B804}"/>
            </c:ext>
          </c:extLst>
        </c:ser>
        <c:ser>
          <c:idx val="3"/>
          <c:order val="3"/>
          <c:tx>
            <c:v>SDmin</c:v>
          </c:tx>
          <c:spPr>
            <a:solidFill>
              <a:schemeClr val="accent4">
                <a:lumMod val="60000"/>
                <a:lumOff val="40000"/>
                <a:alpha val="70000"/>
              </a:schemeClr>
            </a:solidFill>
            <a:ln w="12700"/>
          </c:spPr>
          <c:invertIfNegative val="0"/>
          <c:cat>
            <c:strRef>
              <c:f>'Profile Summary and Figures'!$B$212:$B$223</c:f>
              <c:strCache>
                <c:ptCount val="12"/>
                <c:pt idx="0">
                  <c:v>N-DIF</c:v>
                </c:pt>
                <c:pt idx="1">
                  <c:v>P-DIF</c:v>
                </c:pt>
                <c:pt idx="2">
                  <c:v>N-DDF</c:v>
                </c:pt>
                <c:pt idx="3">
                  <c:v>P-DDF</c:v>
                </c:pt>
                <c:pt idx="4">
                  <c:v>G-EOT</c:v>
                </c:pt>
                <c:pt idx="6">
                  <c:v>G-DIF</c:v>
                </c:pt>
                <c:pt idx="7">
                  <c:v>G-DDF</c:v>
                </c:pt>
                <c:pt idx="8">
                  <c:v>N-DAF</c:v>
                </c:pt>
                <c:pt idx="9">
                  <c:v>P-DAF</c:v>
                </c:pt>
                <c:pt idx="10">
                  <c:v>G-DAF</c:v>
                </c:pt>
                <c:pt idx="11">
                  <c:v>TOT</c:v>
                </c:pt>
              </c:strCache>
            </c:strRef>
          </c:cat>
          <c:val>
            <c:numLit>
              <c:formatCode>General</c:formatCode>
              <c:ptCount val="5"/>
              <c:pt idx="0">
                <c:v>-7</c:v>
              </c:pt>
              <c:pt idx="1">
                <c:v>-7</c:v>
              </c:pt>
              <c:pt idx="2">
                <c:v>-7</c:v>
              </c:pt>
              <c:pt idx="3">
                <c:v>-7</c:v>
              </c:pt>
              <c:pt idx="4">
                <c:v>-7</c:v>
              </c:pt>
            </c:numLit>
          </c:val>
          <c:extLst>
            <c:ext xmlns:c16="http://schemas.microsoft.com/office/drawing/2014/chart" uri="{C3380CC4-5D6E-409C-BE32-E72D297353CC}">
              <c16:uniqueId val="{00000003-3C92-934A-AE40-19CA0896B804}"/>
            </c:ext>
          </c:extLst>
        </c:ser>
        <c:dLbls>
          <c:showLegendKey val="0"/>
          <c:showVal val="0"/>
          <c:showCatName val="0"/>
          <c:showSerName val="0"/>
          <c:showPercent val="0"/>
          <c:showBubbleSize val="0"/>
        </c:dLbls>
        <c:gapWidth val="0"/>
        <c:overlap val="100"/>
        <c:axId val="2047410223"/>
        <c:axId val="2020649551"/>
      </c:barChart>
      <c:lineChart>
        <c:grouping val="standard"/>
        <c:varyColors val="0"/>
        <c:ser>
          <c:idx val="4"/>
          <c:order val="4"/>
          <c:tx>
            <c:strRef>
              <c:f>'Profile Summary and Figures'!$A$469</c:f>
              <c:strCache>
                <c:ptCount val="1"/>
                <c:pt idx="0">
                  <c:v>The Personality Inventory for DSM-5 - Brief Form (PID-5-BF)</c:v>
                </c:pt>
              </c:strCache>
            </c:strRef>
          </c:tx>
          <c:spPr>
            <a:ln>
              <a:solidFill>
                <a:schemeClr val="accent1"/>
              </a:solidFill>
            </a:ln>
          </c:spPr>
          <c:marker>
            <c:symbol val="circle"/>
            <c:size val="7"/>
            <c:spPr>
              <a:solidFill>
                <a:schemeClr val="accent1"/>
              </a:solidFill>
              <a:ln>
                <a:solidFill>
                  <a:schemeClr val="accent1">
                    <a:lumMod val="50000"/>
                  </a:schemeClr>
                </a:solidFill>
              </a:ln>
              <a:effectLst/>
            </c:spPr>
          </c:marker>
          <c:cat>
            <c:strRef>
              <c:f>'Profile Summary and Figures'!$A$471:$A$475</c:f>
              <c:strCache>
                <c:ptCount val="5"/>
                <c:pt idx="0">
                  <c:v>Negative affect</c:v>
                </c:pt>
                <c:pt idx="1">
                  <c:v>Detachment</c:v>
                </c:pt>
                <c:pt idx="2">
                  <c:v>Antagonism</c:v>
                </c:pt>
                <c:pt idx="3">
                  <c:v>Disinhibition</c:v>
                </c:pt>
                <c:pt idx="4">
                  <c:v>Psychoticism</c:v>
                </c:pt>
              </c:strCache>
            </c:strRef>
          </c:cat>
          <c:val>
            <c:numRef>
              <c:f>'Profile Summary and Figures'!$D$471:$D$475</c:f>
              <c:numCache>
                <c:formatCode>0.000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4-3C92-934A-AE40-19CA0896B804}"/>
            </c:ext>
          </c:extLst>
        </c:ser>
        <c:dLbls>
          <c:showLegendKey val="0"/>
          <c:showVal val="0"/>
          <c:showCatName val="0"/>
          <c:showSerName val="0"/>
          <c:showPercent val="0"/>
          <c:showBubbleSize val="0"/>
        </c:dLbls>
        <c:marker val="1"/>
        <c:smooth val="0"/>
        <c:axId val="1993967983"/>
        <c:axId val="1970953087"/>
      </c:lineChart>
      <c:catAx>
        <c:axId val="1993967983"/>
        <c:scaling>
          <c:orientation val="minMax"/>
        </c:scaling>
        <c:delete val="0"/>
        <c:axPos val="b"/>
        <c:majorGridlines>
          <c:spPr>
            <a:ln>
              <a:solidFill>
                <a:schemeClr val="bg2">
                  <a:lumMod val="40000"/>
                  <a:lumOff val="60000"/>
                </a:schemeClr>
              </a:solidFill>
            </a:ln>
          </c:spPr>
        </c:majorGridlines>
        <c:title>
          <c:tx>
            <c:rich>
              <a:bodyPr rot="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r>
                  <a:rPr lang="en-GB" baseline="0">
                    <a:solidFill>
                      <a:schemeClr val="bg2">
                        <a:lumMod val="75000"/>
                      </a:schemeClr>
                    </a:solidFill>
                  </a:rPr>
                  <a:t> </a:t>
                </a:r>
                <a:endParaRPr lang="en-GB">
                  <a:solidFill>
                    <a:schemeClr val="bg2">
                      <a:lumMod val="75000"/>
                    </a:schemeClr>
                  </a:solidFill>
                </a:endParaRPr>
              </a:p>
            </c:rich>
          </c:tx>
          <c:overlay val="0"/>
          <c:spPr>
            <a:noFill/>
            <a:ln>
              <a:noFill/>
            </a:ln>
            <a:effectLst/>
          </c:spPr>
        </c:title>
        <c:numFmt formatCode="General" sourceLinked="1"/>
        <c:majorTickMark val="none"/>
        <c:minorTickMark val="none"/>
        <c:tickLblPos val="low"/>
        <c:spPr>
          <a:noFill/>
          <a:ln w="25400" cap="flat" cmpd="sng" algn="ctr">
            <a:solidFill>
              <a:schemeClr val="bg2"/>
            </a:solidFill>
            <a:round/>
          </a:ln>
          <a:effectLst/>
        </c:spPr>
        <c:txPr>
          <a:bodyPr rot="-60000000" spcFirstLastPara="1" vertOverflow="ellipsis" vert="horz" wrap="square" anchor="ctr" anchorCtr="1"/>
          <a:lstStyle/>
          <a:p>
            <a:pPr>
              <a:defRPr sz="1050" b="0" i="0" u="none" strike="noStrike" kern="1200" baseline="0">
                <a:ln>
                  <a:noFill/>
                </a:ln>
                <a:solidFill>
                  <a:schemeClr val="bg2">
                    <a:lumMod val="75000"/>
                  </a:schemeClr>
                </a:solidFill>
                <a:latin typeface="+mn-lt"/>
                <a:ea typeface="+mn-ea"/>
                <a:cs typeface="+mn-cs"/>
              </a:defRPr>
            </a:pPr>
            <a:endParaRPr lang="en-US"/>
          </a:p>
        </c:txPr>
        <c:crossAx val="1970953087"/>
        <c:crosses val="autoZero"/>
        <c:auto val="1"/>
        <c:lblAlgn val="ctr"/>
        <c:lblOffset val="100"/>
        <c:noMultiLvlLbl val="0"/>
      </c:catAx>
      <c:valAx>
        <c:axId val="1970953087"/>
        <c:scaling>
          <c:orientation val="minMax"/>
          <c:max val="7"/>
          <c:min val="-7"/>
        </c:scaling>
        <c:delete val="0"/>
        <c:axPos val="l"/>
        <c:majorGridlines>
          <c:spPr>
            <a:ln w="9525" cap="flat" cmpd="sng" algn="ctr">
              <a:solidFill>
                <a:schemeClr val="bg2">
                  <a:lumMod val="40000"/>
                  <a:lumOff val="60000"/>
                </a:schemeClr>
              </a:solidFill>
              <a:round/>
            </a:ln>
            <a:effectLst/>
          </c:spPr>
        </c:majorGridlines>
        <c:title>
          <c:tx>
            <c:rich>
              <a:bodyPr/>
              <a:lstStyle/>
              <a:p>
                <a:pPr>
                  <a:defRPr sz="1200"/>
                </a:pPr>
                <a:r>
                  <a:rPr lang="en-GB" sz="1200">
                    <a:solidFill>
                      <a:schemeClr val="bg2">
                        <a:lumMod val="75000"/>
                      </a:schemeClr>
                    </a:solidFill>
                  </a:rPr>
                  <a:t>z-score</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mn-lt"/>
                <a:ea typeface="+mn-ea"/>
                <a:cs typeface="+mn-cs"/>
              </a:defRPr>
            </a:pPr>
            <a:endParaRPr lang="en-US"/>
          </a:p>
        </c:txPr>
        <c:crossAx val="1993967983"/>
        <c:crosses val="autoZero"/>
        <c:crossBetween val="between"/>
        <c:majorUnit val="1"/>
      </c:valAx>
      <c:valAx>
        <c:axId val="2020649551"/>
        <c:scaling>
          <c:orientation val="minMax"/>
          <c:max val="3"/>
          <c:min val="-3"/>
        </c:scaling>
        <c:delete val="1"/>
        <c:axPos val="r"/>
        <c:numFmt formatCode="General" sourceLinked="1"/>
        <c:majorTickMark val="out"/>
        <c:minorTickMark val="none"/>
        <c:tickLblPos val="nextTo"/>
        <c:crossAx val="2047410223"/>
        <c:crosses val="max"/>
        <c:crossBetween val="between"/>
      </c:valAx>
      <c:catAx>
        <c:axId val="2047410223"/>
        <c:scaling>
          <c:orientation val="minMax"/>
        </c:scaling>
        <c:delete val="1"/>
        <c:axPos val="b"/>
        <c:numFmt formatCode="General" sourceLinked="1"/>
        <c:majorTickMark val="out"/>
        <c:minorTickMark val="none"/>
        <c:tickLblPos val="nextTo"/>
        <c:crossAx val="2020649551"/>
        <c:crosses val="autoZero"/>
        <c:auto val="1"/>
        <c:lblAlgn val="ctr"/>
        <c:lblOffset val="100"/>
        <c:noMultiLvlLbl val="0"/>
      </c:catAx>
    </c:plotArea>
    <c:plotVisOnly val="1"/>
    <c:dispBlanksAs val="gap"/>
    <c:showDLblsOverMax val="0"/>
    <c:extLst/>
  </c:chart>
  <c:spPr>
    <a:ln w="12700">
      <a:solidFill>
        <a:schemeClr val="bg2"/>
      </a:solidFill>
    </a:ln>
  </c:spPr>
  <c:txPr>
    <a:bodyPr/>
    <a:lstStyle/>
    <a:p>
      <a:pPr>
        <a:defRPr/>
      </a:pPr>
      <a:endParaRPr lang="en-US"/>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8" Type="http://schemas.openxmlformats.org/officeDocument/2006/relationships/hyperlink" Target="#PAQ!A1"/><Relationship Id="rId13" Type="http://schemas.openxmlformats.org/officeDocument/2006/relationships/hyperlink" Target="#AQ!A1"/><Relationship Id="rId18" Type="http://schemas.openxmlformats.org/officeDocument/2006/relationships/hyperlink" Target="#'K10'!A1"/><Relationship Id="rId26" Type="http://schemas.openxmlformats.org/officeDocument/2006/relationships/hyperlink" Target="#'EDE-Q'!A1"/><Relationship Id="rId3" Type="http://schemas.openxmlformats.org/officeDocument/2006/relationships/hyperlink" Target="#'PERS-S'!A1"/><Relationship Id="rId21" Type="http://schemas.openxmlformats.org/officeDocument/2006/relationships/hyperlink" Target="#AUDIT!A1"/><Relationship Id="rId7" Type="http://schemas.openxmlformats.org/officeDocument/2006/relationships/hyperlink" Target="#'PID-5-BF'!A1"/><Relationship Id="rId12" Type="http://schemas.openxmlformats.org/officeDocument/2006/relationships/hyperlink" Target="#'AQ-10'!A1"/><Relationship Id="rId17" Type="http://schemas.openxmlformats.org/officeDocument/2006/relationships/hyperlink" Target="#'DSM-5'!A1"/><Relationship Id="rId25" Type="http://schemas.openxmlformats.org/officeDocument/2006/relationships/hyperlink" Target="#'PCL-5'!A1"/><Relationship Id="rId2" Type="http://schemas.openxmlformats.org/officeDocument/2006/relationships/hyperlink" Target="#PERS!A1"/><Relationship Id="rId16" Type="http://schemas.openxmlformats.org/officeDocument/2006/relationships/hyperlink" Target="#'DASS-21'!A1"/><Relationship Id="rId20" Type="http://schemas.openxmlformats.org/officeDocument/2006/relationships/hyperlink" Target="#'PHQ-9'!A1"/><Relationship Id="rId29" Type="http://schemas.openxmlformats.org/officeDocument/2006/relationships/hyperlink" Target="#BAI!A1"/><Relationship Id="rId1" Type="http://schemas.openxmlformats.org/officeDocument/2006/relationships/hyperlink" Target="#PERCI!A1"/><Relationship Id="rId6" Type="http://schemas.openxmlformats.org/officeDocument/2006/relationships/hyperlink" Target="#'PID-5'!A1"/><Relationship Id="rId11" Type="http://schemas.openxmlformats.org/officeDocument/2006/relationships/hyperlink" Target="#CATI!A1"/><Relationship Id="rId24" Type="http://schemas.openxmlformats.org/officeDocument/2006/relationships/hyperlink" Target="#'EDE-QS'!A1"/><Relationship Id="rId5" Type="http://schemas.openxmlformats.org/officeDocument/2006/relationships/hyperlink" Target="#ERQ!A1"/><Relationship Id="rId15" Type="http://schemas.openxmlformats.org/officeDocument/2006/relationships/hyperlink" Target="#'Measure norms'!A1"/><Relationship Id="rId23" Type="http://schemas.openxmlformats.org/officeDocument/2006/relationships/hyperlink" Target="#'PAQ-S'!A1"/><Relationship Id="rId28" Type="http://schemas.openxmlformats.org/officeDocument/2006/relationships/hyperlink" Target="#'BDI-II'!A1"/><Relationship Id="rId10" Type="http://schemas.openxmlformats.org/officeDocument/2006/relationships/hyperlink" Target="#ASRS!A1"/><Relationship Id="rId19" Type="http://schemas.openxmlformats.org/officeDocument/2006/relationships/hyperlink" Target="#'GAD-7'!A1"/><Relationship Id="rId31" Type="http://schemas.openxmlformats.org/officeDocument/2006/relationships/hyperlink" Target="#'Profile Summary and Figures'!A1"/><Relationship Id="rId4" Type="http://schemas.openxmlformats.org/officeDocument/2006/relationships/hyperlink" Target="#EBQ!A1"/><Relationship Id="rId9" Type="http://schemas.openxmlformats.org/officeDocument/2006/relationships/hyperlink" Target="#'Client details'!A1"/><Relationship Id="rId14" Type="http://schemas.openxmlformats.org/officeDocument/2006/relationships/hyperlink" Target="#PES!A1"/><Relationship Id="rId22" Type="http://schemas.openxmlformats.org/officeDocument/2006/relationships/hyperlink" Target="#DASS!A1"/><Relationship Id="rId27" Type="http://schemas.openxmlformats.org/officeDocument/2006/relationships/hyperlink" Target="#PMERQ!A1"/><Relationship Id="rId30" Type="http://schemas.openxmlformats.org/officeDocument/2006/relationships/hyperlink" Target="#'YSQ-R'!A1"/></Relationships>
</file>

<file path=xl/drawings/_rels/drawing2.xml.rels><?xml version="1.0" encoding="UTF-8" standalone="yes"?>
<Relationships xmlns="http://schemas.openxmlformats.org/package/2006/relationships"><Relationship Id="rId2" Type="http://schemas.openxmlformats.org/officeDocument/2006/relationships/hyperlink" Target="#Instructions!A1"/><Relationship Id="rId1" Type="http://schemas.openxmlformats.org/officeDocument/2006/relationships/hyperlink" Target="#'Profile Summary and Figures'!A1"/></Relationships>
</file>

<file path=xl/drawings/_rels/drawing3.xml.rels><?xml version="1.0" encoding="UTF-8" standalone="yes"?>
<Relationships xmlns="http://schemas.openxmlformats.org/package/2006/relationships"><Relationship Id="rId13" Type="http://schemas.openxmlformats.org/officeDocument/2006/relationships/hyperlink" Target="#'Client details'!A1"/><Relationship Id="rId18" Type="http://schemas.openxmlformats.org/officeDocument/2006/relationships/hyperlink" Target="#DSM_5_profile"/><Relationship Id="rId26" Type="http://schemas.openxmlformats.org/officeDocument/2006/relationships/hyperlink" Target="#'PID-5-BF'!A1"/><Relationship Id="rId39" Type="http://schemas.openxmlformats.org/officeDocument/2006/relationships/chart" Target="../charts/chart13.xml"/><Relationship Id="rId21" Type="http://schemas.openxmlformats.org/officeDocument/2006/relationships/hyperlink" Target="#PHQ_9_profile"/><Relationship Id="rId34" Type="http://schemas.openxmlformats.org/officeDocument/2006/relationships/hyperlink" Target="#ERQ!A1"/><Relationship Id="rId42" Type="http://schemas.openxmlformats.org/officeDocument/2006/relationships/hyperlink" Target="#DASS_profile"/><Relationship Id="rId47" Type="http://schemas.openxmlformats.org/officeDocument/2006/relationships/hyperlink" Target="#AQ_10_profile"/><Relationship Id="rId50" Type="http://schemas.openxmlformats.org/officeDocument/2006/relationships/hyperlink" Target="#ASRS_profile"/><Relationship Id="rId55" Type="http://schemas.openxmlformats.org/officeDocument/2006/relationships/chart" Target="../charts/chart17.xml"/><Relationship Id="rId63" Type="http://schemas.openxmlformats.org/officeDocument/2006/relationships/hyperlink" Target="#'EDE-QS'!A1"/><Relationship Id="rId68" Type="http://schemas.openxmlformats.org/officeDocument/2006/relationships/hyperlink" Target="#EDE_QS_profile"/><Relationship Id="rId76" Type="http://schemas.openxmlformats.org/officeDocument/2006/relationships/chart" Target="../charts/chart25.xml"/><Relationship Id="rId84" Type="http://schemas.openxmlformats.org/officeDocument/2006/relationships/hyperlink" Target="#'PERS-S'!A1"/><Relationship Id="rId7" Type="http://schemas.openxmlformats.org/officeDocument/2006/relationships/chart" Target="../charts/chart7.xml"/><Relationship Id="rId71" Type="http://schemas.openxmlformats.org/officeDocument/2006/relationships/hyperlink" Target="#PMERQ!A1"/><Relationship Id="rId2" Type="http://schemas.openxmlformats.org/officeDocument/2006/relationships/chart" Target="../charts/chart2.xml"/><Relationship Id="rId16" Type="http://schemas.openxmlformats.org/officeDocument/2006/relationships/hyperlink" Target="#ERQ_profile"/><Relationship Id="rId29" Type="http://schemas.openxmlformats.org/officeDocument/2006/relationships/hyperlink" Target="#'PHQ-9'!A1"/><Relationship Id="rId11" Type="http://schemas.openxmlformats.org/officeDocument/2006/relationships/chart" Target="../charts/chart11.xml"/><Relationship Id="rId24" Type="http://schemas.openxmlformats.org/officeDocument/2006/relationships/hyperlink" Target="#PERCI_profile"/><Relationship Id="rId32" Type="http://schemas.openxmlformats.org/officeDocument/2006/relationships/hyperlink" Target="#'DSM-5'!A1"/><Relationship Id="rId37" Type="http://schemas.openxmlformats.org/officeDocument/2006/relationships/hyperlink" Target="#PERCI!A1"/><Relationship Id="rId40" Type="http://schemas.openxmlformats.org/officeDocument/2006/relationships/hyperlink" Target="#PES!A1"/><Relationship Id="rId45" Type="http://schemas.openxmlformats.org/officeDocument/2006/relationships/hyperlink" Target="#PID_5_BF_profile"/><Relationship Id="rId53" Type="http://schemas.openxmlformats.org/officeDocument/2006/relationships/chart" Target="../charts/chart16.xml"/><Relationship Id="rId58" Type="http://schemas.openxmlformats.org/officeDocument/2006/relationships/chart" Target="../charts/chart18.xml"/><Relationship Id="rId66" Type="http://schemas.openxmlformats.org/officeDocument/2006/relationships/hyperlink" Target="#PCL_5_profile"/><Relationship Id="rId74" Type="http://schemas.openxmlformats.org/officeDocument/2006/relationships/chart" Target="../charts/chart24.xml"/><Relationship Id="rId79" Type="http://schemas.openxmlformats.org/officeDocument/2006/relationships/hyperlink" Target="#BAI_profile"/><Relationship Id="rId87" Type="http://schemas.openxmlformats.org/officeDocument/2006/relationships/chart" Target="../charts/chart28.xml"/><Relationship Id="rId5" Type="http://schemas.openxmlformats.org/officeDocument/2006/relationships/chart" Target="../charts/chart5.xml"/><Relationship Id="rId61" Type="http://schemas.openxmlformats.org/officeDocument/2006/relationships/hyperlink" Target="#PAQ_S_profile"/><Relationship Id="rId82" Type="http://schemas.openxmlformats.org/officeDocument/2006/relationships/hyperlink" Target="#YSQ_R_profile"/><Relationship Id="rId19" Type="http://schemas.openxmlformats.org/officeDocument/2006/relationships/hyperlink" Target="#K10_profile"/><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hyperlink" Target="#Instructions!A1"/><Relationship Id="rId22" Type="http://schemas.openxmlformats.org/officeDocument/2006/relationships/hyperlink" Target="#AUDIT_profile"/><Relationship Id="rId27" Type="http://schemas.openxmlformats.org/officeDocument/2006/relationships/hyperlink" Target="#'PID-5'!A1"/><Relationship Id="rId30" Type="http://schemas.openxmlformats.org/officeDocument/2006/relationships/hyperlink" Target="#'GAD-7'!A1"/><Relationship Id="rId35" Type="http://schemas.openxmlformats.org/officeDocument/2006/relationships/hyperlink" Target="#EBQ!A1"/><Relationship Id="rId43" Type="http://schemas.openxmlformats.org/officeDocument/2006/relationships/chart" Target="../charts/chart14.xml"/><Relationship Id="rId48" Type="http://schemas.openxmlformats.org/officeDocument/2006/relationships/hyperlink" Target="#CATI_profile"/><Relationship Id="rId56" Type="http://schemas.openxmlformats.org/officeDocument/2006/relationships/hyperlink" Target="#ASRS!A1"/><Relationship Id="rId64" Type="http://schemas.openxmlformats.org/officeDocument/2006/relationships/chart" Target="../charts/chart20.xml"/><Relationship Id="rId69" Type="http://schemas.openxmlformats.org/officeDocument/2006/relationships/hyperlink" Target="#PMERQ_profile"/><Relationship Id="rId77" Type="http://schemas.openxmlformats.org/officeDocument/2006/relationships/hyperlink" Target="#'BDI-II'!A1"/><Relationship Id="rId8" Type="http://schemas.openxmlformats.org/officeDocument/2006/relationships/chart" Target="../charts/chart8.xml"/><Relationship Id="rId51" Type="http://schemas.openxmlformats.org/officeDocument/2006/relationships/hyperlink" Target="#AQ!A1"/><Relationship Id="rId72" Type="http://schemas.openxmlformats.org/officeDocument/2006/relationships/chart" Target="../charts/chart22.xml"/><Relationship Id="rId80" Type="http://schemas.openxmlformats.org/officeDocument/2006/relationships/hyperlink" Target="#'YSQ-R'!A1"/><Relationship Id="rId85" Type="http://schemas.openxmlformats.org/officeDocument/2006/relationships/hyperlink" Target="#PERS_profile"/><Relationship Id="rId3" Type="http://schemas.openxmlformats.org/officeDocument/2006/relationships/chart" Target="../charts/chart3.xml"/><Relationship Id="rId12" Type="http://schemas.openxmlformats.org/officeDocument/2006/relationships/chart" Target="../charts/chart12.xml"/><Relationship Id="rId17" Type="http://schemas.openxmlformats.org/officeDocument/2006/relationships/hyperlink" Target="#DASS_21_profile"/><Relationship Id="rId25" Type="http://schemas.openxmlformats.org/officeDocument/2006/relationships/hyperlink" Target="#Profile_index"/><Relationship Id="rId33" Type="http://schemas.openxmlformats.org/officeDocument/2006/relationships/hyperlink" Target="#'DASS-21'!A1"/><Relationship Id="rId38" Type="http://schemas.openxmlformats.org/officeDocument/2006/relationships/hyperlink" Target="#PAQ!A1"/><Relationship Id="rId46" Type="http://schemas.openxmlformats.org/officeDocument/2006/relationships/hyperlink" Target="#PID_5_profile"/><Relationship Id="rId59" Type="http://schemas.openxmlformats.org/officeDocument/2006/relationships/chart" Target="../charts/chart19.xml"/><Relationship Id="rId67" Type="http://schemas.openxmlformats.org/officeDocument/2006/relationships/hyperlink" Target="#EDE_Q_profile"/><Relationship Id="rId20" Type="http://schemas.openxmlformats.org/officeDocument/2006/relationships/hyperlink" Target="#GAD_7_profile"/><Relationship Id="rId41" Type="http://schemas.openxmlformats.org/officeDocument/2006/relationships/hyperlink" Target="#PES_profile"/><Relationship Id="rId54" Type="http://schemas.openxmlformats.org/officeDocument/2006/relationships/hyperlink" Target="#'AQ-10'!A1"/><Relationship Id="rId62" Type="http://schemas.openxmlformats.org/officeDocument/2006/relationships/hyperlink" Target="#'EDE-Q'!A1"/><Relationship Id="rId70" Type="http://schemas.openxmlformats.org/officeDocument/2006/relationships/chart" Target="../charts/chart21.xml"/><Relationship Id="rId75" Type="http://schemas.openxmlformats.org/officeDocument/2006/relationships/hyperlink" Target="#BAI!A1"/><Relationship Id="rId83" Type="http://schemas.openxmlformats.org/officeDocument/2006/relationships/chart" Target="../charts/chart27.xml"/><Relationship Id="rId1" Type="http://schemas.openxmlformats.org/officeDocument/2006/relationships/chart" Target="../charts/chart1.xml"/><Relationship Id="rId6" Type="http://schemas.openxmlformats.org/officeDocument/2006/relationships/chart" Target="../charts/chart6.xml"/><Relationship Id="rId15" Type="http://schemas.openxmlformats.org/officeDocument/2006/relationships/hyperlink" Target="#EBQ_profile"/><Relationship Id="rId23" Type="http://schemas.openxmlformats.org/officeDocument/2006/relationships/hyperlink" Target="#PAQ_profile"/><Relationship Id="rId28" Type="http://schemas.openxmlformats.org/officeDocument/2006/relationships/hyperlink" Target="#AUDIT!A1"/><Relationship Id="rId36" Type="http://schemas.openxmlformats.org/officeDocument/2006/relationships/hyperlink" Target="#PERS!A1"/><Relationship Id="rId49" Type="http://schemas.openxmlformats.org/officeDocument/2006/relationships/hyperlink" Target="#AQ_profile"/><Relationship Id="rId57" Type="http://schemas.openxmlformats.org/officeDocument/2006/relationships/hyperlink" Target="#CATI!A1"/><Relationship Id="rId10" Type="http://schemas.openxmlformats.org/officeDocument/2006/relationships/chart" Target="../charts/chart10.xml"/><Relationship Id="rId31" Type="http://schemas.openxmlformats.org/officeDocument/2006/relationships/hyperlink" Target="#'K10'!A1"/><Relationship Id="rId44" Type="http://schemas.openxmlformats.org/officeDocument/2006/relationships/hyperlink" Target="#DASS!A1"/><Relationship Id="rId52" Type="http://schemas.openxmlformats.org/officeDocument/2006/relationships/chart" Target="../charts/chart15.xml"/><Relationship Id="rId60" Type="http://schemas.openxmlformats.org/officeDocument/2006/relationships/hyperlink" Target="#'PAQ-S'!A1"/><Relationship Id="rId65" Type="http://schemas.openxmlformats.org/officeDocument/2006/relationships/hyperlink" Target="#'PCL-5'!A1"/><Relationship Id="rId73" Type="http://schemas.openxmlformats.org/officeDocument/2006/relationships/chart" Target="../charts/chart23.xml"/><Relationship Id="rId78" Type="http://schemas.openxmlformats.org/officeDocument/2006/relationships/hyperlink" Target="#BDI_II_profile"/><Relationship Id="rId81" Type="http://schemas.openxmlformats.org/officeDocument/2006/relationships/chart" Target="../charts/chart26.xml"/><Relationship Id="rId86" Type="http://schemas.openxmlformats.org/officeDocument/2006/relationships/hyperlink" Target="#PERS_S_profile"/></Relationships>
</file>

<file path=xl/drawings/_rels/drawing3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DASS_21_profile"/><Relationship Id="rId1" Type="http://schemas.openxmlformats.org/officeDocument/2006/relationships/hyperlink" Target="#'Client details'!A1"/></Relationships>
</file>

<file path=xl/drawings/_rels/drawing3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DASS_profile"/><Relationship Id="rId1" Type="http://schemas.openxmlformats.org/officeDocument/2006/relationships/hyperlink" Target="#'Client details'!A1"/></Relationships>
</file>

<file path=xl/drawings/_rels/drawing3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K10_profile"/><Relationship Id="rId1" Type="http://schemas.openxmlformats.org/officeDocument/2006/relationships/hyperlink" Target="#'Client details'!A1"/></Relationships>
</file>

<file path=xl/drawings/_rels/drawing35.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GAD_7_profile"/><Relationship Id="rId1" Type="http://schemas.openxmlformats.org/officeDocument/2006/relationships/hyperlink" Target="#'Client details'!A1"/></Relationships>
</file>

<file path=xl/drawings/_rels/drawing36.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PHQ_9_profile"/><Relationship Id="rId1" Type="http://schemas.openxmlformats.org/officeDocument/2006/relationships/hyperlink" Target="#'Client details'!A1"/></Relationships>
</file>

<file path=xl/drawings/_rels/drawing37.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BDI_II_profile"/><Relationship Id="rId1" Type="http://schemas.openxmlformats.org/officeDocument/2006/relationships/hyperlink" Target="#'Client details'!A1"/></Relationships>
</file>

<file path=xl/drawings/_rels/drawing38.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BAI_profile"/><Relationship Id="rId1" Type="http://schemas.openxmlformats.org/officeDocument/2006/relationships/hyperlink" Target="#'Client details'!A1"/></Relationships>
</file>

<file path=xl/drawings/_rels/drawing39.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DSM_5_profile"/><Relationship Id="rId1" Type="http://schemas.openxmlformats.org/officeDocument/2006/relationships/hyperlink" Target="#'Client details'!A1"/></Relationships>
</file>

<file path=xl/drawings/_rels/drawing40.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PCL_5_profile"/><Relationship Id="rId1" Type="http://schemas.openxmlformats.org/officeDocument/2006/relationships/hyperlink" Target="#'Client details'!A1"/></Relationships>
</file>

<file path=xl/drawings/_rels/drawing41.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EDE_Q_profile"/><Relationship Id="rId1" Type="http://schemas.openxmlformats.org/officeDocument/2006/relationships/hyperlink" Target="#'Client details'!A1"/></Relationships>
</file>

<file path=xl/drawings/_rels/drawing4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EDE_QS_profile"/><Relationship Id="rId1" Type="http://schemas.openxmlformats.org/officeDocument/2006/relationships/hyperlink" Target="#'Client details'!A1"/></Relationships>
</file>

<file path=xl/drawings/_rels/drawing4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UDIT_profile"/><Relationship Id="rId1" Type="http://schemas.openxmlformats.org/officeDocument/2006/relationships/hyperlink" Target="#'Client details'!A1"/></Relationships>
</file>

<file path=xl/drawings/_rels/drawing4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PAQ_profile"/><Relationship Id="rId1" Type="http://schemas.openxmlformats.org/officeDocument/2006/relationships/hyperlink" Target="#'Client details'!A1"/></Relationships>
</file>

<file path=xl/drawings/_rels/drawing45.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PAQ_S_profile"/><Relationship Id="rId1" Type="http://schemas.openxmlformats.org/officeDocument/2006/relationships/hyperlink" Target="#'Client details'!A1"/></Relationships>
</file>

<file path=xl/drawings/_rels/drawing46.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PERCI_profile"/><Relationship Id="rId1" Type="http://schemas.openxmlformats.org/officeDocument/2006/relationships/hyperlink" Target="#'Client details'!A1"/></Relationships>
</file>

<file path=xl/drawings/_rels/drawing47.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PERS_profile"/><Relationship Id="rId1" Type="http://schemas.openxmlformats.org/officeDocument/2006/relationships/hyperlink" Target="#'Client details'!A1"/></Relationships>
</file>

<file path=xl/drawings/_rels/drawing48.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PERS_S_profile"/><Relationship Id="rId1" Type="http://schemas.openxmlformats.org/officeDocument/2006/relationships/hyperlink" Target="#'Client details'!A1"/></Relationships>
</file>

<file path=xl/drawings/_rels/drawing49.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EBQ_profile"/><Relationship Id="rId1" Type="http://schemas.openxmlformats.org/officeDocument/2006/relationships/hyperlink" Target="#'Client details'!A1"/></Relationships>
</file>

<file path=xl/drawings/_rels/drawing50.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ERQ_profile"/><Relationship Id="rId1" Type="http://schemas.openxmlformats.org/officeDocument/2006/relationships/hyperlink" Target="#'Client details'!A1"/></Relationships>
</file>

<file path=xl/drawings/_rels/drawing51.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PMERQ_profile"/><Relationship Id="rId1" Type="http://schemas.openxmlformats.org/officeDocument/2006/relationships/hyperlink" Target="#'Client details'!A1"/></Relationships>
</file>

<file path=xl/drawings/_rels/drawing5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PES_profile"/><Relationship Id="rId1" Type="http://schemas.openxmlformats.org/officeDocument/2006/relationships/hyperlink" Target="#'Client details'!A1"/></Relationships>
</file>

<file path=xl/drawings/_rels/drawing5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SRS_profile"/><Relationship Id="rId1" Type="http://schemas.openxmlformats.org/officeDocument/2006/relationships/hyperlink" Target="#'Client details'!A1"/></Relationships>
</file>

<file path=xl/drawings/_rels/drawing5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Q_profile"/><Relationship Id="rId1" Type="http://schemas.openxmlformats.org/officeDocument/2006/relationships/hyperlink" Target="#'Client details'!A1"/></Relationships>
</file>

<file path=xl/drawings/_rels/drawing55.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Q_10_profile"/><Relationship Id="rId1" Type="http://schemas.openxmlformats.org/officeDocument/2006/relationships/hyperlink" Target="#'Client details'!A1"/></Relationships>
</file>

<file path=xl/drawings/_rels/drawing56.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CATI_profile"/><Relationship Id="rId1" Type="http://schemas.openxmlformats.org/officeDocument/2006/relationships/hyperlink" Target="#'Client details'!A1"/></Relationships>
</file>

<file path=xl/drawings/_rels/drawing57.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PID_5_profile"/><Relationship Id="rId1" Type="http://schemas.openxmlformats.org/officeDocument/2006/relationships/hyperlink" Target="#'Client details'!A1"/></Relationships>
</file>

<file path=xl/drawings/_rels/drawing58.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PID_5_BF_profile"/><Relationship Id="rId1" Type="http://schemas.openxmlformats.org/officeDocument/2006/relationships/hyperlink" Target="#'Client details'!A1"/></Relationships>
</file>

<file path=xl/drawings/_rels/drawing59.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YSQ_R_profile"/><Relationship Id="rId1" Type="http://schemas.openxmlformats.org/officeDocument/2006/relationships/hyperlink" Target="#'Client details'!A1"/></Relationships>
</file>

<file path=xl/drawings/_rels/drawing60.xml.rels><?xml version="1.0" encoding="UTF-8" standalone="yes"?>
<Relationships xmlns="http://schemas.openxmlformats.org/package/2006/relationships"><Relationship Id="rId8" Type="http://schemas.openxmlformats.org/officeDocument/2006/relationships/hyperlink" Target="#PERCI_norms"/><Relationship Id="rId13" Type="http://schemas.openxmlformats.org/officeDocument/2006/relationships/hyperlink" Target="#PES_norms"/><Relationship Id="rId18" Type="http://schemas.openxmlformats.org/officeDocument/2006/relationships/hyperlink" Target="#PHQ_9_norms"/><Relationship Id="rId26" Type="http://schemas.openxmlformats.org/officeDocument/2006/relationships/hyperlink" Target="#EDE_QS_norms"/><Relationship Id="rId3" Type="http://schemas.openxmlformats.org/officeDocument/2006/relationships/hyperlink" Target="#Instructions!A1"/><Relationship Id="rId21" Type="http://schemas.openxmlformats.org/officeDocument/2006/relationships/hyperlink" Target="#AQ_norms"/><Relationship Id="rId7" Type="http://schemas.openxmlformats.org/officeDocument/2006/relationships/hyperlink" Target="#PERS_norms"/><Relationship Id="rId12" Type="http://schemas.openxmlformats.org/officeDocument/2006/relationships/hyperlink" Target="#PID_5_norms"/><Relationship Id="rId17" Type="http://schemas.openxmlformats.org/officeDocument/2006/relationships/hyperlink" Target="#GAD_7_norms"/><Relationship Id="rId25" Type="http://schemas.openxmlformats.org/officeDocument/2006/relationships/hyperlink" Target="#PAQ_S_norms"/><Relationship Id="rId2" Type="http://schemas.openxmlformats.org/officeDocument/2006/relationships/hyperlink" Target="#'Profile Summary and Figures'!A1"/><Relationship Id="rId16" Type="http://schemas.openxmlformats.org/officeDocument/2006/relationships/hyperlink" Target="#K10_norms"/><Relationship Id="rId20" Type="http://schemas.openxmlformats.org/officeDocument/2006/relationships/hyperlink" Target="#ASRS_norms"/><Relationship Id="rId29" Type="http://schemas.openxmlformats.org/officeDocument/2006/relationships/hyperlink" Target="#PMERQ_norms"/><Relationship Id="rId1" Type="http://schemas.openxmlformats.org/officeDocument/2006/relationships/hyperlink" Target="#'Client details'!A1"/><Relationship Id="rId6" Type="http://schemas.openxmlformats.org/officeDocument/2006/relationships/hyperlink" Target="#PAQ_norms"/><Relationship Id="rId11" Type="http://schemas.openxmlformats.org/officeDocument/2006/relationships/hyperlink" Target="#PID_5_BF_norms"/><Relationship Id="rId24" Type="http://schemas.openxmlformats.org/officeDocument/2006/relationships/hyperlink" Target="#DASS_norms"/><Relationship Id="rId32" Type="http://schemas.openxmlformats.org/officeDocument/2006/relationships/hyperlink" Target="#YSQ_R_norms"/><Relationship Id="rId5" Type="http://schemas.openxmlformats.org/officeDocument/2006/relationships/hyperlink" Target="#ERQ_norms"/><Relationship Id="rId15" Type="http://schemas.openxmlformats.org/officeDocument/2006/relationships/hyperlink" Target="#DSM_5_norms"/><Relationship Id="rId23" Type="http://schemas.openxmlformats.org/officeDocument/2006/relationships/hyperlink" Target="#CATI_norms"/><Relationship Id="rId28" Type="http://schemas.openxmlformats.org/officeDocument/2006/relationships/hyperlink" Target="#EDE_Q_norms"/><Relationship Id="rId10" Type="http://schemas.openxmlformats.org/officeDocument/2006/relationships/hyperlink" Target="#Norms_index"/><Relationship Id="rId19" Type="http://schemas.openxmlformats.org/officeDocument/2006/relationships/hyperlink" Target="#AUDIT_norms"/><Relationship Id="rId31" Type="http://schemas.openxmlformats.org/officeDocument/2006/relationships/hyperlink" Target="#BAI_norms"/><Relationship Id="rId4" Type="http://schemas.openxmlformats.org/officeDocument/2006/relationships/hyperlink" Target="#EBQ_norms"/><Relationship Id="rId9" Type="http://schemas.openxmlformats.org/officeDocument/2006/relationships/hyperlink" Target="#PERS_S_norms"/><Relationship Id="rId14" Type="http://schemas.openxmlformats.org/officeDocument/2006/relationships/hyperlink" Target="#DASS_21_norms"/><Relationship Id="rId22" Type="http://schemas.openxmlformats.org/officeDocument/2006/relationships/hyperlink" Target="#AQ_10_norms"/><Relationship Id="rId27" Type="http://schemas.openxmlformats.org/officeDocument/2006/relationships/hyperlink" Target="#PCL_5_norms"/><Relationship Id="rId30" Type="http://schemas.openxmlformats.org/officeDocument/2006/relationships/hyperlink" Target="#BDI_II_norms"/></Relationships>
</file>

<file path=xl/drawings/drawing1.xml><?xml version="1.0" encoding="utf-8"?>
<xdr:wsDr xmlns:xdr="http://schemas.openxmlformats.org/drawingml/2006/spreadsheetDrawing" xmlns:a="http://schemas.openxmlformats.org/drawingml/2006/main">
  <xdr:oneCellAnchor>
    <xdr:from>
      <xdr:col>1</xdr:col>
      <xdr:colOff>0</xdr:colOff>
      <xdr:row>30</xdr:row>
      <xdr:rowOff>0</xdr:rowOff>
    </xdr:from>
    <xdr:ext cx="1980000" cy="255514"/>
    <xdr:sp macro="" textlink="">
      <xdr:nvSpPr>
        <xdr:cNvPr id="12" name="TextBox 11">
          <a:hlinkClick xmlns:r="http://schemas.openxmlformats.org/officeDocument/2006/relationships" r:id="rId1"/>
          <a:extLst>
            <a:ext uri="{FF2B5EF4-FFF2-40B4-BE49-F238E27FC236}">
              <a16:creationId xmlns:a16="http://schemas.microsoft.com/office/drawing/2014/main" id="{9991E05C-DA92-2247-BAF5-3D9341001522}"/>
            </a:ext>
          </a:extLst>
        </xdr:cNvPr>
        <xdr:cNvSpPr txBox="1"/>
      </xdr:nvSpPr>
      <xdr:spPr>
        <a:xfrm>
          <a:off x="9969500" y="57785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PERCI </a:t>
          </a:r>
          <a:r>
            <a:rPr lang="en-GB" sz="1400" b="0">
              <a:solidFill>
                <a:schemeClr val="bg1"/>
              </a:solidFill>
              <a:latin typeface="+mj-lt"/>
            </a:rPr>
            <a:t>input</a:t>
          </a:r>
        </a:p>
      </xdr:txBody>
    </xdr:sp>
    <xdr:clientData/>
  </xdr:oneCellAnchor>
  <xdr:oneCellAnchor>
    <xdr:from>
      <xdr:col>1</xdr:col>
      <xdr:colOff>0</xdr:colOff>
      <xdr:row>31</xdr:row>
      <xdr:rowOff>0</xdr:rowOff>
    </xdr:from>
    <xdr:ext cx="1980000" cy="255514"/>
    <xdr:sp macro="" textlink="">
      <xdr:nvSpPr>
        <xdr:cNvPr id="13" name="TextBox 12">
          <a:hlinkClick xmlns:r="http://schemas.openxmlformats.org/officeDocument/2006/relationships" r:id="rId2"/>
          <a:extLst>
            <a:ext uri="{FF2B5EF4-FFF2-40B4-BE49-F238E27FC236}">
              <a16:creationId xmlns:a16="http://schemas.microsoft.com/office/drawing/2014/main" id="{B873C57F-56EF-794A-BA90-1F1568A4A58B}"/>
            </a:ext>
          </a:extLst>
        </xdr:cNvPr>
        <xdr:cNvSpPr txBox="1"/>
      </xdr:nvSpPr>
      <xdr:spPr>
        <a:xfrm>
          <a:off x="9969500" y="60960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PERS </a:t>
          </a:r>
          <a:r>
            <a:rPr lang="en-GB" sz="1400" b="0">
              <a:solidFill>
                <a:schemeClr val="bg1"/>
              </a:solidFill>
              <a:latin typeface="+mj-lt"/>
            </a:rPr>
            <a:t>input</a:t>
          </a:r>
        </a:p>
      </xdr:txBody>
    </xdr:sp>
    <xdr:clientData/>
  </xdr:oneCellAnchor>
  <xdr:oneCellAnchor>
    <xdr:from>
      <xdr:col>1</xdr:col>
      <xdr:colOff>0</xdr:colOff>
      <xdr:row>32</xdr:row>
      <xdr:rowOff>0</xdr:rowOff>
    </xdr:from>
    <xdr:ext cx="1980000" cy="255514"/>
    <xdr:sp macro="" textlink="">
      <xdr:nvSpPr>
        <xdr:cNvPr id="14" name="TextBox 13">
          <a:hlinkClick xmlns:r="http://schemas.openxmlformats.org/officeDocument/2006/relationships" r:id="rId3"/>
          <a:extLst>
            <a:ext uri="{FF2B5EF4-FFF2-40B4-BE49-F238E27FC236}">
              <a16:creationId xmlns:a16="http://schemas.microsoft.com/office/drawing/2014/main" id="{34A0153A-AA75-2546-87D5-2AA5CCD33A7F}"/>
            </a:ext>
          </a:extLst>
        </xdr:cNvPr>
        <xdr:cNvSpPr txBox="1"/>
      </xdr:nvSpPr>
      <xdr:spPr>
        <a:xfrm>
          <a:off x="9969500" y="64135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PERS-S </a:t>
          </a:r>
          <a:r>
            <a:rPr lang="en-GB" sz="1400" b="0">
              <a:solidFill>
                <a:schemeClr val="bg1"/>
              </a:solidFill>
              <a:latin typeface="+mj-lt"/>
            </a:rPr>
            <a:t>input</a:t>
          </a:r>
        </a:p>
      </xdr:txBody>
    </xdr:sp>
    <xdr:clientData/>
  </xdr:oneCellAnchor>
  <xdr:oneCellAnchor>
    <xdr:from>
      <xdr:col>1</xdr:col>
      <xdr:colOff>0</xdr:colOff>
      <xdr:row>33</xdr:row>
      <xdr:rowOff>0</xdr:rowOff>
    </xdr:from>
    <xdr:ext cx="1980000" cy="255514"/>
    <xdr:sp macro="" textlink="">
      <xdr:nvSpPr>
        <xdr:cNvPr id="15" name="TextBox 14">
          <a:hlinkClick xmlns:r="http://schemas.openxmlformats.org/officeDocument/2006/relationships" r:id="rId4"/>
          <a:extLst>
            <a:ext uri="{FF2B5EF4-FFF2-40B4-BE49-F238E27FC236}">
              <a16:creationId xmlns:a16="http://schemas.microsoft.com/office/drawing/2014/main" id="{34B44EF5-88BC-7643-B8A0-6C19F72AE861}"/>
            </a:ext>
          </a:extLst>
        </xdr:cNvPr>
        <xdr:cNvSpPr txBox="1"/>
      </xdr:nvSpPr>
      <xdr:spPr>
        <a:xfrm>
          <a:off x="9969500" y="67310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EBQ </a:t>
          </a:r>
          <a:r>
            <a:rPr lang="en-GB" sz="1400" b="0">
              <a:solidFill>
                <a:schemeClr val="bg1"/>
              </a:solidFill>
              <a:latin typeface="+mj-lt"/>
            </a:rPr>
            <a:t>input</a:t>
          </a:r>
        </a:p>
      </xdr:txBody>
    </xdr:sp>
    <xdr:clientData/>
  </xdr:oneCellAnchor>
  <xdr:oneCellAnchor>
    <xdr:from>
      <xdr:col>1</xdr:col>
      <xdr:colOff>0</xdr:colOff>
      <xdr:row>34</xdr:row>
      <xdr:rowOff>0</xdr:rowOff>
    </xdr:from>
    <xdr:ext cx="1980000" cy="255514"/>
    <xdr:sp macro="" textlink="">
      <xdr:nvSpPr>
        <xdr:cNvPr id="16" name="TextBox 15">
          <a:hlinkClick xmlns:r="http://schemas.openxmlformats.org/officeDocument/2006/relationships" r:id="rId5"/>
          <a:extLst>
            <a:ext uri="{FF2B5EF4-FFF2-40B4-BE49-F238E27FC236}">
              <a16:creationId xmlns:a16="http://schemas.microsoft.com/office/drawing/2014/main" id="{98C2B75F-B18B-9946-9869-755BCDD942AB}"/>
            </a:ext>
          </a:extLst>
        </xdr:cNvPr>
        <xdr:cNvSpPr txBox="1"/>
      </xdr:nvSpPr>
      <xdr:spPr>
        <a:xfrm>
          <a:off x="9969500" y="70485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ERQ </a:t>
          </a:r>
          <a:r>
            <a:rPr lang="en-GB" sz="1400" b="0">
              <a:solidFill>
                <a:schemeClr val="bg1"/>
              </a:solidFill>
              <a:latin typeface="+mj-lt"/>
            </a:rPr>
            <a:t>input</a:t>
          </a:r>
        </a:p>
      </xdr:txBody>
    </xdr:sp>
    <xdr:clientData/>
  </xdr:oneCellAnchor>
  <xdr:oneCellAnchor>
    <xdr:from>
      <xdr:col>1</xdr:col>
      <xdr:colOff>0</xdr:colOff>
      <xdr:row>43</xdr:row>
      <xdr:rowOff>0</xdr:rowOff>
    </xdr:from>
    <xdr:ext cx="1980000" cy="255514"/>
    <xdr:sp macro="" textlink="">
      <xdr:nvSpPr>
        <xdr:cNvPr id="24" name="TextBox 23">
          <a:hlinkClick xmlns:r="http://schemas.openxmlformats.org/officeDocument/2006/relationships" r:id="rId6"/>
          <a:extLst>
            <a:ext uri="{FF2B5EF4-FFF2-40B4-BE49-F238E27FC236}">
              <a16:creationId xmlns:a16="http://schemas.microsoft.com/office/drawing/2014/main" id="{C628A58B-D339-3245-B678-53247ECBB44C}"/>
            </a:ext>
          </a:extLst>
        </xdr:cNvPr>
        <xdr:cNvSpPr txBox="1"/>
      </xdr:nvSpPr>
      <xdr:spPr>
        <a:xfrm>
          <a:off x="9969500" y="97790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PID-5</a:t>
          </a:r>
          <a:r>
            <a:rPr lang="en-GB" sz="1400" b="0">
              <a:solidFill>
                <a:schemeClr val="bg1"/>
              </a:solidFill>
              <a:latin typeface="+mj-lt"/>
            </a:rPr>
            <a:t> input</a:t>
          </a:r>
        </a:p>
      </xdr:txBody>
    </xdr:sp>
    <xdr:clientData/>
  </xdr:oneCellAnchor>
  <xdr:oneCellAnchor>
    <xdr:from>
      <xdr:col>1</xdr:col>
      <xdr:colOff>0</xdr:colOff>
      <xdr:row>44</xdr:row>
      <xdr:rowOff>0</xdr:rowOff>
    </xdr:from>
    <xdr:ext cx="1980000" cy="255514"/>
    <xdr:sp macro="" textlink="">
      <xdr:nvSpPr>
        <xdr:cNvPr id="25" name="TextBox 24">
          <a:hlinkClick xmlns:r="http://schemas.openxmlformats.org/officeDocument/2006/relationships" r:id="rId7"/>
          <a:extLst>
            <a:ext uri="{FF2B5EF4-FFF2-40B4-BE49-F238E27FC236}">
              <a16:creationId xmlns:a16="http://schemas.microsoft.com/office/drawing/2014/main" id="{7C3997EE-3A53-AB4A-A951-89C430C5099A}"/>
            </a:ext>
          </a:extLst>
        </xdr:cNvPr>
        <xdr:cNvSpPr txBox="1"/>
      </xdr:nvSpPr>
      <xdr:spPr>
        <a:xfrm>
          <a:off x="9969500" y="100965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PID-5-BF </a:t>
          </a:r>
          <a:r>
            <a:rPr lang="en-GB" sz="1400" b="0">
              <a:solidFill>
                <a:schemeClr val="bg1"/>
              </a:solidFill>
              <a:latin typeface="+mj-lt"/>
            </a:rPr>
            <a:t>input</a:t>
          </a:r>
        </a:p>
      </xdr:txBody>
    </xdr:sp>
    <xdr:clientData/>
  </xdr:oneCellAnchor>
  <xdr:oneCellAnchor>
    <xdr:from>
      <xdr:col>1</xdr:col>
      <xdr:colOff>0</xdr:colOff>
      <xdr:row>28</xdr:row>
      <xdr:rowOff>0</xdr:rowOff>
    </xdr:from>
    <xdr:ext cx="1980000" cy="255514"/>
    <xdr:sp macro="" textlink="">
      <xdr:nvSpPr>
        <xdr:cNvPr id="27" name="TextBox 26">
          <a:hlinkClick xmlns:r="http://schemas.openxmlformats.org/officeDocument/2006/relationships" r:id="rId8"/>
          <a:extLst>
            <a:ext uri="{FF2B5EF4-FFF2-40B4-BE49-F238E27FC236}">
              <a16:creationId xmlns:a16="http://schemas.microsoft.com/office/drawing/2014/main" id="{D94A692C-9B20-8440-A14D-EA1D3B8215C3}"/>
            </a:ext>
          </a:extLst>
        </xdr:cNvPr>
        <xdr:cNvSpPr txBox="1"/>
      </xdr:nvSpPr>
      <xdr:spPr>
        <a:xfrm>
          <a:off x="9969500" y="54610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PAQ </a:t>
          </a:r>
          <a:r>
            <a:rPr lang="en-GB" sz="1400" b="0">
              <a:solidFill>
                <a:schemeClr val="bg1"/>
              </a:solidFill>
              <a:latin typeface="+mj-lt"/>
            </a:rPr>
            <a:t>input</a:t>
          </a:r>
        </a:p>
      </xdr:txBody>
    </xdr:sp>
    <xdr:clientData/>
  </xdr:oneCellAnchor>
  <xdr:oneCellAnchor>
    <xdr:from>
      <xdr:col>1</xdr:col>
      <xdr:colOff>0</xdr:colOff>
      <xdr:row>49</xdr:row>
      <xdr:rowOff>0</xdr:rowOff>
    </xdr:from>
    <xdr:ext cx="1980000" cy="255514"/>
    <xdr:sp macro="" textlink="">
      <xdr:nvSpPr>
        <xdr:cNvPr id="28" name="TextBox 27">
          <a:hlinkClick xmlns:r="http://schemas.openxmlformats.org/officeDocument/2006/relationships" r:id="rId9"/>
          <a:extLst>
            <a:ext uri="{FF2B5EF4-FFF2-40B4-BE49-F238E27FC236}">
              <a16:creationId xmlns:a16="http://schemas.microsoft.com/office/drawing/2014/main" id="{0BD425EF-EE3A-F540-B2F9-7940014CF091}"/>
            </a:ext>
          </a:extLst>
        </xdr:cNvPr>
        <xdr:cNvSpPr txBox="1"/>
      </xdr:nvSpPr>
      <xdr:spPr>
        <a:xfrm>
          <a:off x="9969500" y="109220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Client Details </a:t>
          </a:r>
          <a:endParaRPr lang="en-GB" sz="1400" b="0">
            <a:solidFill>
              <a:schemeClr val="bg1"/>
            </a:solidFill>
            <a:latin typeface="+mj-lt"/>
          </a:endParaRPr>
        </a:p>
      </xdr:txBody>
    </xdr:sp>
    <xdr:clientData/>
  </xdr:oneCellAnchor>
  <xdr:oneCellAnchor>
    <xdr:from>
      <xdr:col>1</xdr:col>
      <xdr:colOff>0</xdr:colOff>
      <xdr:row>38</xdr:row>
      <xdr:rowOff>0</xdr:rowOff>
    </xdr:from>
    <xdr:ext cx="1980000" cy="255514"/>
    <xdr:sp macro="" textlink="">
      <xdr:nvSpPr>
        <xdr:cNvPr id="2" name="TextBox 1">
          <a:hlinkClick xmlns:r="http://schemas.openxmlformats.org/officeDocument/2006/relationships" r:id="rId10"/>
          <a:extLst>
            <a:ext uri="{FF2B5EF4-FFF2-40B4-BE49-F238E27FC236}">
              <a16:creationId xmlns:a16="http://schemas.microsoft.com/office/drawing/2014/main" id="{33B402F5-E655-3740-AB24-92694EB9C80D}"/>
            </a:ext>
          </a:extLst>
        </xdr:cNvPr>
        <xdr:cNvSpPr txBox="1"/>
      </xdr:nvSpPr>
      <xdr:spPr>
        <a:xfrm>
          <a:off x="9969500" y="110490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ASRS</a:t>
          </a:r>
          <a:r>
            <a:rPr lang="en-GB" sz="1400" b="0">
              <a:solidFill>
                <a:schemeClr val="bg1"/>
              </a:solidFill>
              <a:latin typeface="+mj-lt"/>
            </a:rPr>
            <a:t> input</a:t>
          </a:r>
        </a:p>
      </xdr:txBody>
    </xdr:sp>
    <xdr:clientData/>
  </xdr:oneCellAnchor>
  <xdr:oneCellAnchor>
    <xdr:from>
      <xdr:col>1</xdr:col>
      <xdr:colOff>0</xdr:colOff>
      <xdr:row>41</xdr:row>
      <xdr:rowOff>0</xdr:rowOff>
    </xdr:from>
    <xdr:ext cx="1980000" cy="255514"/>
    <xdr:sp macro="" textlink="">
      <xdr:nvSpPr>
        <xdr:cNvPr id="3" name="TextBox 2">
          <a:hlinkClick xmlns:r="http://schemas.openxmlformats.org/officeDocument/2006/relationships" r:id="rId11"/>
          <a:extLst>
            <a:ext uri="{FF2B5EF4-FFF2-40B4-BE49-F238E27FC236}">
              <a16:creationId xmlns:a16="http://schemas.microsoft.com/office/drawing/2014/main" id="{5D70B1B3-23A3-B54D-B2AD-56DAA675A19C}"/>
            </a:ext>
          </a:extLst>
        </xdr:cNvPr>
        <xdr:cNvSpPr txBox="1"/>
      </xdr:nvSpPr>
      <xdr:spPr>
        <a:xfrm>
          <a:off x="9969500" y="113665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CATI </a:t>
          </a:r>
          <a:r>
            <a:rPr lang="en-GB" sz="1400" b="0">
              <a:solidFill>
                <a:schemeClr val="bg1"/>
              </a:solidFill>
              <a:latin typeface="+mj-lt"/>
            </a:rPr>
            <a:t>input</a:t>
          </a:r>
        </a:p>
      </xdr:txBody>
    </xdr:sp>
    <xdr:clientData/>
  </xdr:oneCellAnchor>
  <xdr:oneCellAnchor>
    <xdr:from>
      <xdr:col>1</xdr:col>
      <xdr:colOff>0</xdr:colOff>
      <xdr:row>40</xdr:row>
      <xdr:rowOff>0</xdr:rowOff>
    </xdr:from>
    <xdr:ext cx="1980000" cy="255514"/>
    <xdr:sp macro="" textlink="">
      <xdr:nvSpPr>
        <xdr:cNvPr id="5" name="TextBox 4">
          <a:hlinkClick xmlns:r="http://schemas.openxmlformats.org/officeDocument/2006/relationships" r:id="rId12"/>
          <a:extLst>
            <a:ext uri="{FF2B5EF4-FFF2-40B4-BE49-F238E27FC236}">
              <a16:creationId xmlns:a16="http://schemas.microsoft.com/office/drawing/2014/main" id="{6F0C7288-E3C9-DE49-B9D8-3CC019572675}"/>
            </a:ext>
          </a:extLst>
        </xdr:cNvPr>
        <xdr:cNvSpPr txBox="1"/>
      </xdr:nvSpPr>
      <xdr:spPr>
        <a:xfrm>
          <a:off x="9969500" y="104140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AQ-10 </a:t>
          </a:r>
          <a:r>
            <a:rPr lang="en-GB" sz="1400" b="0">
              <a:solidFill>
                <a:schemeClr val="bg1"/>
              </a:solidFill>
              <a:latin typeface="+mj-lt"/>
            </a:rPr>
            <a:t>input</a:t>
          </a:r>
        </a:p>
      </xdr:txBody>
    </xdr:sp>
    <xdr:clientData/>
  </xdr:oneCellAnchor>
  <xdr:oneCellAnchor>
    <xdr:from>
      <xdr:col>1</xdr:col>
      <xdr:colOff>0</xdr:colOff>
      <xdr:row>39</xdr:row>
      <xdr:rowOff>0</xdr:rowOff>
    </xdr:from>
    <xdr:ext cx="1980000" cy="255514"/>
    <xdr:sp macro="" textlink="">
      <xdr:nvSpPr>
        <xdr:cNvPr id="6" name="TextBox 5">
          <a:hlinkClick xmlns:r="http://schemas.openxmlformats.org/officeDocument/2006/relationships" r:id="rId13"/>
          <a:extLst>
            <a:ext uri="{FF2B5EF4-FFF2-40B4-BE49-F238E27FC236}">
              <a16:creationId xmlns:a16="http://schemas.microsoft.com/office/drawing/2014/main" id="{E19EA09B-B279-4346-A5E2-AE7BEBC7DFA9}"/>
            </a:ext>
          </a:extLst>
        </xdr:cNvPr>
        <xdr:cNvSpPr txBox="1"/>
      </xdr:nvSpPr>
      <xdr:spPr>
        <a:xfrm>
          <a:off x="9969500" y="104140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AQ </a:t>
          </a:r>
          <a:r>
            <a:rPr lang="en-GB" sz="1400" b="0">
              <a:solidFill>
                <a:schemeClr val="bg1"/>
              </a:solidFill>
              <a:latin typeface="+mj-lt"/>
            </a:rPr>
            <a:t>input</a:t>
          </a:r>
        </a:p>
      </xdr:txBody>
    </xdr:sp>
    <xdr:clientData/>
  </xdr:oneCellAnchor>
  <xdr:oneCellAnchor>
    <xdr:from>
      <xdr:col>1</xdr:col>
      <xdr:colOff>0</xdr:colOff>
      <xdr:row>36</xdr:row>
      <xdr:rowOff>0</xdr:rowOff>
    </xdr:from>
    <xdr:ext cx="1980000" cy="255514"/>
    <xdr:sp macro="" textlink="">
      <xdr:nvSpPr>
        <xdr:cNvPr id="7" name="TextBox 6">
          <a:hlinkClick xmlns:r="http://schemas.openxmlformats.org/officeDocument/2006/relationships" r:id="rId14"/>
          <a:extLst>
            <a:ext uri="{FF2B5EF4-FFF2-40B4-BE49-F238E27FC236}">
              <a16:creationId xmlns:a16="http://schemas.microsoft.com/office/drawing/2014/main" id="{F0386237-EC26-5343-8C29-99E725C0A93D}"/>
            </a:ext>
          </a:extLst>
        </xdr:cNvPr>
        <xdr:cNvSpPr txBox="1"/>
      </xdr:nvSpPr>
      <xdr:spPr>
        <a:xfrm>
          <a:off x="9969500" y="70485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PES </a:t>
          </a:r>
          <a:r>
            <a:rPr lang="en-GB" sz="1400" b="0">
              <a:solidFill>
                <a:schemeClr val="bg1"/>
              </a:solidFill>
              <a:latin typeface="+mj-lt"/>
            </a:rPr>
            <a:t>input</a:t>
          </a:r>
        </a:p>
      </xdr:txBody>
    </xdr:sp>
    <xdr:clientData/>
  </xdr:oneCellAnchor>
  <xdr:oneCellAnchor>
    <xdr:from>
      <xdr:col>1</xdr:col>
      <xdr:colOff>0</xdr:colOff>
      <xdr:row>56</xdr:row>
      <xdr:rowOff>0</xdr:rowOff>
    </xdr:from>
    <xdr:ext cx="1980000" cy="255514"/>
    <xdr:sp macro="" textlink="">
      <xdr:nvSpPr>
        <xdr:cNvPr id="30" name="TextBox 29">
          <a:hlinkClick xmlns:r="http://schemas.openxmlformats.org/officeDocument/2006/relationships" r:id="rId15"/>
          <a:extLst>
            <a:ext uri="{FF2B5EF4-FFF2-40B4-BE49-F238E27FC236}">
              <a16:creationId xmlns:a16="http://schemas.microsoft.com/office/drawing/2014/main" id="{9362800F-7077-E245-8FE6-6595D3931FCC}"/>
            </a:ext>
          </a:extLst>
        </xdr:cNvPr>
        <xdr:cNvSpPr txBox="1"/>
      </xdr:nvSpPr>
      <xdr:spPr>
        <a:xfrm>
          <a:off x="9969500" y="142875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Measure Norms</a:t>
          </a:r>
          <a:endParaRPr lang="en-GB" sz="1400" b="0">
            <a:solidFill>
              <a:schemeClr val="bg1"/>
            </a:solidFill>
            <a:latin typeface="+mj-lt"/>
          </a:endParaRPr>
        </a:p>
      </xdr:txBody>
    </xdr:sp>
    <xdr:clientData/>
  </xdr:oneCellAnchor>
  <xdr:oneCellAnchor>
    <xdr:from>
      <xdr:col>1</xdr:col>
      <xdr:colOff>0</xdr:colOff>
      <xdr:row>15</xdr:row>
      <xdr:rowOff>0</xdr:rowOff>
    </xdr:from>
    <xdr:ext cx="1980000" cy="255514"/>
    <xdr:sp macro="" textlink="">
      <xdr:nvSpPr>
        <xdr:cNvPr id="4" name="TextBox 3">
          <a:hlinkClick xmlns:r="http://schemas.openxmlformats.org/officeDocument/2006/relationships" r:id="rId16"/>
          <a:extLst>
            <a:ext uri="{FF2B5EF4-FFF2-40B4-BE49-F238E27FC236}">
              <a16:creationId xmlns:a16="http://schemas.microsoft.com/office/drawing/2014/main" id="{195A8630-0A43-AB44-AE2E-832CDA5C19B3}"/>
            </a:ext>
          </a:extLst>
        </xdr:cNvPr>
        <xdr:cNvSpPr txBox="1"/>
      </xdr:nvSpPr>
      <xdr:spPr>
        <a:xfrm>
          <a:off x="9969500" y="101473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DASS-21 </a:t>
          </a:r>
          <a:r>
            <a:rPr lang="en-GB" sz="1400" b="0">
              <a:solidFill>
                <a:schemeClr val="bg1"/>
              </a:solidFill>
              <a:latin typeface="+mj-lt"/>
            </a:rPr>
            <a:t>input</a:t>
          </a:r>
        </a:p>
      </xdr:txBody>
    </xdr:sp>
    <xdr:clientData/>
  </xdr:oneCellAnchor>
  <xdr:oneCellAnchor>
    <xdr:from>
      <xdr:col>1</xdr:col>
      <xdr:colOff>0</xdr:colOff>
      <xdr:row>22</xdr:row>
      <xdr:rowOff>0</xdr:rowOff>
    </xdr:from>
    <xdr:ext cx="1980000" cy="255514"/>
    <xdr:sp macro="" textlink="">
      <xdr:nvSpPr>
        <xdr:cNvPr id="9" name="TextBox 8">
          <a:hlinkClick xmlns:r="http://schemas.openxmlformats.org/officeDocument/2006/relationships" r:id="rId17"/>
          <a:extLst>
            <a:ext uri="{FF2B5EF4-FFF2-40B4-BE49-F238E27FC236}">
              <a16:creationId xmlns:a16="http://schemas.microsoft.com/office/drawing/2014/main" id="{BE10C910-3FCD-7D4F-96D2-47F10AE81F6F}"/>
            </a:ext>
          </a:extLst>
        </xdr:cNvPr>
        <xdr:cNvSpPr txBox="1"/>
      </xdr:nvSpPr>
      <xdr:spPr>
        <a:xfrm>
          <a:off x="9969500" y="104648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DSM-5 </a:t>
          </a:r>
          <a:r>
            <a:rPr lang="en-GB" sz="1400" b="0">
              <a:solidFill>
                <a:schemeClr val="bg1"/>
              </a:solidFill>
              <a:latin typeface="+mj-lt"/>
            </a:rPr>
            <a:t>input</a:t>
          </a:r>
        </a:p>
      </xdr:txBody>
    </xdr:sp>
    <xdr:clientData/>
  </xdr:oneCellAnchor>
  <xdr:oneCellAnchor>
    <xdr:from>
      <xdr:col>1</xdr:col>
      <xdr:colOff>0</xdr:colOff>
      <xdr:row>17</xdr:row>
      <xdr:rowOff>0</xdr:rowOff>
    </xdr:from>
    <xdr:ext cx="1980000" cy="255514"/>
    <xdr:sp macro="" textlink="">
      <xdr:nvSpPr>
        <xdr:cNvPr id="10" name="TextBox 9">
          <a:hlinkClick xmlns:r="http://schemas.openxmlformats.org/officeDocument/2006/relationships" r:id="rId18"/>
          <a:extLst>
            <a:ext uri="{FF2B5EF4-FFF2-40B4-BE49-F238E27FC236}">
              <a16:creationId xmlns:a16="http://schemas.microsoft.com/office/drawing/2014/main" id="{325AFD73-C122-124E-9ED7-6AD26C69F602}"/>
            </a:ext>
          </a:extLst>
        </xdr:cNvPr>
        <xdr:cNvSpPr txBox="1"/>
      </xdr:nvSpPr>
      <xdr:spPr>
        <a:xfrm>
          <a:off x="9969500" y="107823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K10 </a:t>
          </a:r>
          <a:r>
            <a:rPr lang="en-GB" sz="1400" b="0">
              <a:solidFill>
                <a:schemeClr val="bg1"/>
              </a:solidFill>
              <a:latin typeface="+mj-lt"/>
            </a:rPr>
            <a:t>input</a:t>
          </a:r>
        </a:p>
      </xdr:txBody>
    </xdr:sp>
    <xdr:clientData/>
  </xdr:oneCellAnchor>
  <xdr:oneCellAnchor>
    <xdr:from>
      <xdr:col>1</xdr:col>
      <xdr:colOff>0</xdr:colOff>
      <xdr:row>18</xdr:row>
      <xdr:rowOff>0</xdr:rowOff>
    </xdr:from>
    <xdr:ext cx="1980000" cy="255514"/>
    <xdr:sp macro="" textlink="">
      <xdr:nvSpPr>
        <xdr:cNvPr id="31" name="TextBox 30">
          <a:hlinkClick xmlns:r="http://schemas.openxmlformats.org/officeDocument/2006/relationships" r:id="rId19"/>
          <a:extLst>
            <a:ext uri="{FF2B5EF4-FFF2-40B4-BE49-F238E27FC236}">
              <a16:creationId xmlns:a16="http://schemas.microsoft.com/office/drawing/2014/main" id="{36939E72-4814-824C-B8EE-0BB779FE70E6}"/>
            </a:ext>
          </a:extLst>
        </xdr:cNvPr>
        <xdr:cNvSpPr txBox="1"/>
      </xdr:nvSpPr>
      <xdr:spPr>
        <a:xfrm>
          <a:off x="9969500" y="110998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GAD-7 </a:t>
          </a:r>
          <a:r>
            <a:rPr lang="en-GB" sz="1400" b="0">
              <a:solidFill>
                <a:schemeClr val="bg1"/>
              </a:solidFill>
              <a:latin typeface="+mj-lt"/>
            </a:rPr>
            <a:t>input</a:t>
          </a:r>
        </a:p>
      </xdr:txBody>
    </xdr:sp>
    <xdr:clientData/>
  </xdr:oneCellAnchor>
  <xdr:oneCellAnchor>
    <xdr:from>
      <xdr:col>1</xdr:col>
      <xdr:colOff>0</xdr:colOff>
      <xdr:row>19</xdr:row>
      <xdr:rowOff>0</xdr:rowOff>
    </xdr:from>
    <xdr:ext cx="1980000" cy="255514"/>
    <xdr:sp macro="" textlink="">
      <xdr:nvSpPr>
        <xdr:cNvPr id="32" name="TextBox 31">
          <a:hlinkClick xmlns:r="http://schemas.openxmlformats.org/officeDocument/2006/relationships" r:id="rId20"/>
          <a:extLst>
            <a:ext uri="{FF2B5EF4-FFF2-40B4-BE49-F238E27FC236}">
              <a16:creationId xmlns:a16="http://schemas.microsoft.com/office/drawing/2014/main" id="{A722096C-5DD5-2141-AE30-0DD888E4F20B}"/>
            </a:ext>
          </a:extLst>
        </xdr:cNvPr>
        <xdr:cNvSpPr txBox="1"/>
      </xdr:nvSpPr>
      <xdr:spPr>
        <a:xfrm>
          <a:off x="9969500" y="114173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PHQ-9 </a:t>
          </a:r>
          <a:r>
            <a:rPr lang="en-GB" sz="1400" b="0">
              <a:solidFill>
                <a:schemeClr val="bg1"/>
              </a:solidFill>
              <a:latin typeface="+mj-lt"/>
            </a:rPr>
            <a:t>input</a:t>
          </a:r>
        </a:p>
      </xdr:txBody>
    </xdr:sp>
    <xdr:clientData/>
  </xdr:oneCellAnchor>
  <xdr:oneCellAnchor>
    <xdr:from>
      <xdr:col>1</xdr:col>
      <xdr:colOff>0</xdr:colOff>
      <xdr:row>26</xdr:row>
      <xdr:rowOff>0</xdr:rowOff>
    </xdr:from>
    <xdr:ext cx="1980000" cy="255514"/>
    <xdr:sp macro="" textlink="">
      <xdr:nvSpPr>
        <xdr:cNvPr id="33" name="TextBox 32">
          <a:hlinkClick xmlns:r="http://schemas.openxmlformats.org/officeDocument/2006/relationships" r:id="rId21"/>
          <a:extLst>
            <a:ext uri="{FF2B5EF4-FFF2-40B4-BE49-F238E27FC236}">
              <a16:creationId xmlns:a16="http://schemas.microsoft.com/office/drawing/2014/main" id="{9F01B4C6-26A5-BD45-B7F3-C5EF6118EFBD}"/>
            </a:ext>
          </a:extLst>
        </xdr:cNvPr>
        <xdr:cNvSpPr txBox="1"/>
      </xdr:nvSpPr>
      <xdr:spPr>
        <a:xfrm>
          <a:off x="9969500" y="117348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AUDIT </a:t>
          </a:r>
          <a:r>
            <a:rPr lang="en-GB" sz="1400" b="0">
              <a:solidFill>
                <a:schemeClr val="bg1"/>
              </a:solidFill>
              <a:latin typeface="+mj-lt"/>
            </a:rPr>
            <a:t>input</a:t>
          </a:r>
        </a:p>
      </xdr:txBody>
    </xdr:sp>
    <xdr:clientData/>
  </xdr:oneCellAnchor>
  <xdr:oneCellAnchor>
    <xdr:from>
      <xdr:col>1</xdr:col>
      <xdr:colOff>0</xdr:colOff>
      <xdr:row>16</xdr:row>
      <xdr:rowOff>0</xdr:rowOff>
    </xdr:from>
    <xdr:ext cx="1980000" cy="255514"/>
    <xdr:sp macro="" textlink="">
      <xdr:nvSpPr>
        <xdr:cNvPr id="34" name="TextBox 33">
          <a:hlinkClick xmlns:r="http://schemas.openxmlformats.org/officeDocument/2006/relationships" r:id="rId22"/>
          <a:extLst>
            <a:ext uri="{FF2B5EF4-FFF2-40B4-BE49-F238E27FC236}">
              <a16:creationId xmlns:a16="http://schemas.microsoft.com/office/drawing/2014/main" id="{E65D78DF-4542-6543-A74F-D2AAE18708A4}"/>
            </a:ext>
          </a:extLst>
        </xdr:cNvPr>
        <xdr:cNvSpPr txBox="1"/>
      </xdr:nvSpPr>
      <xdr:spPr>
        <a:xfrm>
          <a:off x="9969500" y="98298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DASS </a:t>
          </a:r>
          <a:r>
            <a:rPr lang="en-GB" sz="1400" b="0">
              <a:solidFill>
                <a:schemeClr val="bg1"/>
              </a:solidFill>
              <a:latin typeface="+mj-lt"/>
            </a:rPr>
            <a:t>input</a:t>
          </a:r>
        </a:p>
      </xdr:txBody>
    </xdr:sp>
    <xdr:clientData/>
  </xdr:oneCellAnchor>
  <xdr:oneCellAnchor>
    <xdr:from>
      <xdr:col>1</xdr:col>
      <xdr:colOff>0</xdr:colOff>
      <xdr:row>29</xdr:row>
      <xdr:rowOff>0</xdr:rowOff>
    </xdr:from>
    <xdr:ext cx="1980000" cy="255514"/>
    <xdr:sp macro="" textlink="">
      <xdr:nvSpPr>
        <xdr:cNvPr id="8" name="TextBox 7">
          <a:hlinkClick xmlns:r="http://schemas.openxmlformats.org/officeDocument/2006/relationships" r:id="rId23"/>
          <a:extLst>
            <a:ext uri="{FF2B5EF4-FFF2-40B4-BE49-F238E27FC236}">
              <a16:creationId xmlns:a16="http://schemas.microsoft.com/office/drawing/2014/main" id="{07E91ECD-4017-2543-81E0-8437C3CDE56A}"/>
            </a:ext>
          </a:extLst>
        </xdr:cNvPr>
        <xdr:cNvSpPr txBox="1"/>
      </xdr:nvSpPr>
      <xdr:spPr>
        <a:xfrm>
          <a:off x="9969500" y="77978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PAQ-S </a:t>
          </a:r>
          <a:r>
            <a:rPr lang="en-GB" sz="1400" b="0">
              <a:solidFill>
                <a:schemeClr val="bg1"/>
              </a:solidFill>
              <a:latin typeface="+mj-lt"/>
            </a:rPr>
            <a:t>input</a:t>
          </a:r>
        </a:p>
      </xdr:txBody>
    </xdr:sp>
    <xdr:clientData/>
  </xdr:oneCellAnchor>
  <xdr:oneCellAnchor>
    <xdr:from>
      <xdr:col>1</xdr:col>
      <xdr:colOff>0</xdr:colOff>
      <xdr:row>25</xdr:row>
      <xdr:rowOff>0</xdr:rowOff>
    </xdr:from>
    <xdr:ext cx="1980000" cy="255514"/>
    <xdr:sp macro="" textlink="">
      <xdr:nvSpPr>
        <xdr:cNvPr id="17" name="TextBox 16">
          <a:hlinkClick xmlns:r="http://schemas.openxmlformats.org/officeDocument/2006/relationships" r:id="rId24"/>
          <a:extLst>
            <a:ext uri="{FF2B5EF4-FFF2-40B4-BE49-F238E27FC236}">
              <a16:creationId xmlns:a16="http://schemas.microsoft.com/office/drawing/2014/main" id="{F63A589E-7AC1-3B4C-B880-ECE3E89576B6}"/>
            </a:ext>
          </a:extLst>
        </xdr:cNvPr>
        <xdr:cNvSpPr txBox="1"/>
      </xdr:nvSpPr>
      <xdr:spPr>
        <a:xfrm>
          <a:off x="9969500" y="69088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EDE-QS </a:t>
          </a:r>
          <a:r>
            <a:rPr lang="en-GB" sz="1400" b="0">
              <a:solidFill>
                <a:schemeClr val="bg1"/>
              </a:solidFill>
              <a:latin typeface="+mj-lt"/>
            </a:rPr>
            <a:t>input</a:t>
          </a:r>
        </a:p>
      </xdr:txBody>
    </xdr:sp>
    <xdr:clientData/>
  </xdr:oneCellAnchor>
  <xdr:oneCellAnchor>
    <xdr:from>
      <xdr:col>1</xdr:col>
      <xdr:colOff>0</xdr:colOff>
      <xdr:row>23</xdr:row>
      <xdr:rowOff>0</xdr:rowOff>
    </xdr:from>
    <xdr:ext cx="1980000" cy="255514"/>
    <xdr:sp macro="" textlink="">
      <xdr:nvSpPr>
        <xdr:cNvPr id="19" name="TextBox 18">
          <a:hlinkClick xmlns:r="http://schemas.openxmlformats.org/officeDocument/2006/relationships" r:id="rId25"/>
          <a:extLst>
            <a:ext uri="{FF2B5EF4-FFF2-40B4-BE49-F238E27FC236}">
              <a16:creationId xmlns:a16="http://schemas.microsoft.com/office/drawing/2014/main" id="{3943DECA-0729-FF4C-97BB-A7B4598674EC}"/>
            </a:ext>
          </a:extLst>
        </xdr:cNvPr>
        <xdr:cNvSpPr txBox="1"/>
      </xdr:nvSpPr>
      <xdr:spPr>
        <a:xfrm>
          <a:off x="9969500" y="62738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PCL-5 </a:t>
          </a:r>
          <a:r>
            <a:rPr lang="en-GB" sz="1400" b="0">
              <a:solidFill>
                <a:schemeClr val="bg1"/>
              </a:solidFill>
              <a:latin typeface="+mj-lt"/>
            </a:rPr>
            <a:t>input</a:t>
          </a:r>
        </a:p>
      </xdr:txBody>
    </xdr:sp>
    <xdr:clientData/>
  </xdr:oneCellAnchor>
  <xdr:oneCellAnchor>
    <xdr:from>
      <xdr:col>1</xdr:col>
      <xdr:colOff>0</xdr:colOff>
      <xdr:row>24</xdr:row>
      <xdr:rowOff>0</xdr:rowOff>
    </xdr:from>
    <xdr:ext cx="1980000" cy="255514"/>
    <xdr:sp macro="" textlink="">
      <xdr:nvSpPr>
        <xdr:cNvPr id="20" name="TextBox 19">
          <a:hlinkClick xmlns:r="http://schemas.openxmlformats.org/officeDocument/2006/relationships" r:id="rId26"/>
          <a:extLst>
            <a:ext uri="{FF2B5EF4-FFF2-40B4-BE49-F238E27FC236}">
              <a16:creationId xmlns:a16="http://schemas.microsoft.com/office/drawing/2014/main" id="{29843F01-D668-174E-8B23-51173CEFA891}"/>
            </a:ext>
          </a:extLst>
        </xdr:cNvPr>
        <xdr:cNvSpPr txBox="1"/>
      </xdr:nvSpPr>
      <xdr:spPr>
        <a:xfrm>
          <a:off x="9969500" y="65913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EDE-Q </a:t>
          </a:r>
          <a:r>
            <a:rPr lang="en-GB" sz="1400" b="0">
              <a:solidFill>
                <a:schemeClr val="bg1"/>
              </a:solidFill>
              <a:latin typeface="+mj-lt"/>
            </a:rPr>
            <a:t>input</a:t>
          </a:r>
        </a:p>
      </xdr:txBody>
    </xdr:sp>
    <xdr:clientData/>
  </xdr:oneCellAnchor>
  <xdr:oneCellAnchor>
    <xdr:from>
      <xdr:col>1</xdr:col>
      <xdr:colOff>0</xdr:colOff>
      <xdr:row>35</xdr:row>
      <xdr:rowOff>0</xdr:rowOff>
    </xdr:from>
    <xdr:ext cx="1980000" cy="255514"/>
    <xdr:sp macro="" textlink="">
      <xdr:nvSpPr>
        <xdr:cNvPr id="21" name="TextBox 20">
          <a:hlinkClick xmlns:r="http://schemas.openxmlformats.org/officeDocument/2006/relationships" r:id="rId27"/>
          <a:extLst>
            <a:ext uri="{FF2B5EF4-FFF2-40B4-BE49-F238E27FC236}">
              <a16:creationId xmlns:a16="http://schemas.microsoft.com/office/drawing/2014/main" id="{C5D4A754-766E-724B-A2FA-5FCF69EB2013}"/>
            </a:ext>
          </a:extLst>
        </xdr:cNvPr>
        <xdr:cNvSpPr txBox="1"/>
      </xdr:nvSpPr>
      <xdr:spPr>
        <a:xfrm>
          <a:off x="9969500" y="106553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PMERQ </a:t>
          </a:r>
          <a:r>
            <a:rPr lang="en-GB" sz="1400" b="0">
              <a:solidFill>
                <a:schemeClr val="bg1"/>
              </a:solidFill>
              <a:latin typeface="+mj-lt"/>
            </a:rPr>
            <a:t>input</a:t>
          </a:r>
        </a:p>
      </xdr:txBody>
    </xdr:sp>
    <xdr:clientData/>
  </xdr:oneCellAnchor>
  <xdr:oneCellAnchor>
    <xdr:from>
      <xdr:col>1</xdr:col>
      <xdr:colOff>0</xdr:colOff>
      <xdr:row>20</xdr:row>
      <xdr:rowOff>0</xdr:rowOff>
    </xdr:from>
    <xdr:ext cx="1980000" cy="255514"/>
    <xdr:sp macro="" textlink="">
      <xdr:nvSpPr>
        <xdr:cNvPr id="23" name="TextBox 22">
          <a:hlinkClick xmlns:r="http://schemas.openxmlformats.org/officeDocument/2006/relationships" r:id="rId28"/>
          <a:extLst>
            <a:ext uri="{FF2B5EF4-FFF2-40B4-BE49-F238E27FC236}">
              <a16:creationId xmlns:a16="http://schemas.microsoft.com/office/drawing/2014/main" id="{A17284B0-08E7-434C-83A0-644B715BB422}"/>
            </a:ext>
          </a:extLst>
        </xdr:cNvPr>
        <xdr:cNvSpPr txBox="1"/>
      </xdr:nvSpPr>
      <xdr:spPr>
        <a:xfrm>
          <a:off x="9969500" y="82423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BDI-II </a:t>
          </a:r>
          <a:r>
            <a:rPr lang="en-GB" sz="1400" b="0">
              <a:solidFill>
                <a:schemeClr val="bg1"/>
              </a:solidFill>
              <a:latin typeface="+mj-lt"/>
            </a:rPr>
            <a:t>input</a:t>
          </a:r>
        </a:p>
      </xdr:txBody>
    </xdr:sp>
    <xdr:clientData/>
  </xdr:oneCellAnchor>
  <xdr:oneCellAnchor>
    <xdr:from>
      <xdr:col>1</xdr:col>
      <xdr:colOff>0</xdr:colOff>
      <xdr:row>21</xdr:row>
      <xdr:rowOff>0</xdr:rowOff>
    </xdr:from>
    <xdr:ext cx="1980000" cy="255514"/>
    <xdr:sp macro="" textlink="">
      <xdr:nvSpPr>
        <xdr:cNvPr id="29" name="TextBox 28">
          <a:hlinkClick xmlns:r="http://schemas.openxmlformats.org/officeDocument/2006/relationships" r:id="rId29"/>
          <a:extLst>
            <a:ext uri="{FF2B5EF4-FFF2-40B4-BE49-F238E27FC236}">
              <a16:creationId xmlns:a16="http://schemas.microsoft.com/office/drawing/2014/main" id="{EFC9F97C-E67F-8048-B90B-ABB957388C2E}"/>
            </a:ext>
          </a:extLst>
        </xdr:cNvPr>
        <xdr:cNvSpPr txBox="1"/>
      </xdr:nvSpPr>
      <xdr:spPr>
        <a:xfrm>
          <a:off x="9969500" y="85471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BAI</a:t>
          </a:r>
          <a:r>
            <a:rPr lang="en-GB" sz="1400" b="1" baseline="0">
              <a:solidFill>
                <a:schemeClr val="bg1"/>
              </a:solidFill>
              <a:latin typeface="+mj-lt"/>
            </a:rPr>
            <a:t> </a:t>
          </a:r>
          <a:r>
            <a:rPr lang="en-GB" sz="1400" b="0">
              <a:solidFill>
                <a:schemeClr val="bg1"/>
              </a:solidFill>
              <a:latin typeface="+mj-lt"/>
            </a:rPr>
            <a:t>input</a:t>
          </a:r>
        </a:p>
      </xdr:txBody>
    </xdr:sp>
    <xdr:clientData/>
  </xdr:oneCellAnchor>
  <xdr:oneCellAnchor>
    <xdr:from>
      <xdr:col>1</xdr:col>
      <xdr:colOff>0</xdr:colOff>
      <xdr:row>45</xdr:row>
      <xdr:rowOff>0</xdr:rowOff>
    </xdr:from>
    <xdr:ext cx="1980000" cy="255514"/>
    <xdr:sp macro="" textlink="">
      <xdr:nvSpPr>
        <xdr:cNvPr id="35" name="TextBox 34">
          <a:hlinkClick xmlns:r="http://schemas.openxmlformats.org/officeDocument/2006/relationships" r:id="rId30"/>
          <a:extLst>
            <a:ext uri="{FF2B5EF4-FFF2-40B4-BE49-F238E27FC236}">
              <a16:creationId xmlns:a16="http://schemas.microsoft.com/office/drawing/2014/main" id="{A4BA4236-390A-CD44-9997-5D0F9213E651}"/>
            </a:ext>
          </a:extLst>
        </xdr:cNvPr>
        <xdr:cNvSpPr txBox="1"/>
      </xdr:nvSpPr>
      <xdr:spPr>
        <a:xfrm>
          <a:off x="9969500" y="15862300"/>
          <a:ext cx="1980000"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400" b="0">
              <a:solidFill>
                <a:schemeClr val="bg1"/>
              </a:solidFill>
              <a:latin typeface="+mj-lt"/>
            </a:rPr>
            <a:t>Go to </a:t>
          </a:r>
          <a:r>
            <a:rPr lang="en-GB" sz="1400" b="1">
              <a:solidFill>
                <a:schemeClr val="bg1"/>
              </a:solidFill>
              <a:latin typeface="+mj-lt"/>
            </a:rPr>
            <a:t>YSQ-R</a:t>
          </a:r>
          <a:r>
            <a:rPr lang="en-GB" sz="1400" b="0">
              <a:solidFill>
                <a:schemeClr val="bg1"/>
              </a:solidFill>
              <a:latin typeface="+mj-lt"/>
            </a:rPr>
            <a:t> input</a:t>
          </a:r>
        </a:p>
      </xdr:txBody>
    </xdr:sp>
    <xdr:clientData/>
  </xdr:oneCellAnchor>
  <xdr:oneCellAnchor>
    <xdr:from>
      <xdr:col>1</xdr:col>
      <xdr:colOff>0</xdr:colOff>
      <xdr:row>50</xdr:row>
      <xdr:rowOff>0</xdr:rowOff>
    </xdr:from>
    <xdr:ext cx="1980000" cy="474677"/>
    <xdr:sp macro="" textlink="">
      <xdr:nvSpPr>
        <xdr:cNvPr id="36" name="TextBox 35">
          <a:hlinkClick xmlns:r="http://schemas.openxmlformats.org/officeDocument/2006/relationships" r:id="rId31"/>
          <a:extLst>
            <a:ext uri="{FF2B5EF4-FFF2-40B4-BE49-F238E27FC236}">
              <a16:creationId xmlns:a16="http://schemas.microsoft.com/office/drawing/2014/main" id="{E310FD12-A42D-0841-B015-E019F1AF46FF}"/>
            </a:ext>
          </a:extLst>
        </xdr:cNvPr>
        <xdr:cNvSpPr txBox="1"/>
      </xdr:nvSpPr>
      <xdr:spPr>
        <a:xfrm>
          <a:off x="9969500" y="18478500"/>
          <a:ext cx="1980000" cy="474677"/>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lIns="18000" tIns="18000" rIns="18000" bIns="18000" rtlCol="0" anchor="ctr" anchorCtr="0">
          <a:spAutoFit/>
        </a:bodyPr>
        <a:lstStyle/>
        <a:p>
          <a:pPr algn="ctr"/>
          <a:r>
            <a:rPr lang="en-GB" sz="1400" b="0">
              <a:solidFill>
                <a:schemeClr val="bg1"/>
              </a:solidFill>
              <a:latin typeface="+mj-lt"/>
            </a:rPr>
            <a:t>Go to </a:t>
          </a:r>
          <a:r>
            <a:rPr lang="en-GB" sz="1400" b="1">
              <a:solidFill>
                <a:schemeClr val="bg1"/>
              </a:solidFill>
              <a:latin typeface="+mj-lt"/>
            </a:rPr>
            <a:t>Profile Summary and Figures </a:t>
          </a:r>
          <a:endParaRPr lang="en-GB" sz="1400" b="0">
            <a:solidFill>
              <a:schemeClr val="bg1"/>
            </a:solidFill>
            <a:latin typeface="+mj-lt"/>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11</xdr:col>
      <xdr:colOff>674891</xdr:colOff>
      <xdr:row>2</xdr:row>
      <xdr:rowOff>0</xdr:rowOff>
    </xdr:from>
    <xdr:ext cx="2988000" cy="395859"/>
    <xdr:sp macro="" textlink="">
      <xdr:nvSpPr>
        <xdr:cNvPr id="9" name="TextBox 8">
          <a:hlinkClick xmlns:r="http://schemas.openxmlformats.org/officeDocument/2006/relationships" r:id="rId1"/>
          <a:extLst>
            <a:ext uri="{FF2B5EF4-FFF2-40B4-BE49-F238E27FC236}">
              <a16:creationId xmlns:a16="http://schemas.microsoft.com/office/drawing/2014/main" id="{5F54D917-BBED-2347-B055-F5769255CDE5}"/>
            </a:ext>
          </a:extLst>
        </xdr:cNvPr>
        <xdr:cNvSpPr txBox="1"/>
      </xdr:nvSpPr>
      <xdr:spPr>
        <a:xfrm>
          <a:off x="12866891" y="1092200"/>
          <a:ext cx="298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baseline="0">
              <a:solidFill>
                <a:schemeClr val="bg1"/>
              </a:solidFill>
              <a:latin typeface="+mj-lt"/>
              <a:ea typeface="+mn-ea"/>
              <a:cs typeface="+mn-cs"/>
            </a:rPr>
            <a:t>View </a:t>
          </a:r>
          <a:r>
            <a:rPr lang="en-GB" sz="1600" b="1" baseline="0">
              <a:solidFill>
                <a:schemeClr val="bg1"/>
              </a:solidFill>
              <a:latin typeface="+mj-lt"/>
              <a:ea typeface="+mn-ea"/>
              <a:cs typeface="+mn-cs"/>
            </a:rPr>
            <a:t>P</a:t>
          </a:r>
          <a:r>
            <a:rPr lang="en-GB" sz="1600" b="1">
              <a:solidFill>
                <a:schemeClr val="bg1"/>
              </a:solidFill>
              <a:latin typeface="+mj-lt"/>
              <a:ea typeface="+mn-ea"/>
              <a:cs typeface="+mn-cs"/>
            </a:rPr>
            <a:t>rofile Summary and Figures</a:t>
          </a:r>
        </a:p>
      </xdr:txBody>
    </xdr:sp>
    <xdr:clientData/>
  </xdr:oneCellAnchor>
  <xdr:oneCellAnchor>
    <xdr:from>
      <xdr:col>9</xdr:col>
      <xdr:colOff>0</xdr:colOff>
      <xdr:row>2</xdr:row>
      <xdr:rowOff>0</xdr:rowOff>
    </xdr:from>
    <xdr:ext cx="1908000" cy="395859"/>
    <xdr:sp macro="" textlink="">
      <xdr:nvSpPr>
        <xdr:cNvPr id="11" name="TextBox 10">
          <a:hlinkClick xmlns:r="http://schemas.openxmlformats.org/officeDocument/2006/relationships" r:id="rId2"/>
          <a:extLst>
            <a:ext uri="{FF2B5EF4-FFF2-40B4-BE49-F238E27FC236}">
              <a16:creationId xmlns:a16="http://schemas.microsoft.com/office/drawing/2014/main" id="{F3AB30EE-6EC6-0844-B5E4-E472B3BE46C1}"/>
            </a:ext>
          </a:extLst>
        </xdr:cNvPr>
        <xdr:cNvSpPr txBox="1"/>
      </xdr:nvSpPr>
      <xdr:spPr>
        <a:xfrm>
          <a:off x="105410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8225</xdr:colOff>
      <xdr:row>209</xdr:row>
      <xdr:rowOff>4627</xdr:rowOff>
    </xdr:from>
    <xdr:to>
      <xdr:col>15</xdr:col>
      <xdr:colOff>712342</xdr:colOff>
      <xdr:row>223</xdr:row>
      <xdr:rowOff>0</xdr:rowOff>
    </xdr:to>
    <xdr:graphicFrame macro="">
      <xdr:nvGraphicFramePr>
        <xdr:cNvPr id="12" name="Chart 11">
          <a:extLst>
            <a:ext uri="{FF2B5EF4-FFF2-40B4-BE49-F238E27FC236}">
              <a16:creationId xmlns:a16="http://schemas.microsoft.com/office/drawing/2014/main" id="{C9036BB5-16BE-A947-A47C-069AD8EC7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editAs="oneCell">
    <xdr:from>
      <xdr:col>6</xdr:col>
      <xdr:colOff>0</xdr:colOff>
      <xdr:row>244</xdr:row>
      <xdr:rowOff>0</xdr:rowOff>
    </xdr:from>
    <xdr:to>
      <xdr:col>15</xdr:col>
      <xdr:colOff>704117</xdr:colOff>
      <xdr:row>257</xdr:row>
      <xdr:rowOff>249374</xdr:rowOff>
    </xdr:to>
    <xdr:graphicFrame macro="">
      <xdr:nvGraphicFramePr>
        <xdr:cNvPr id="8" name="Chart 7">
          <a:extLst>
            <a:ext uri="{FF2B5EF4-FFF2-40B4-BE49-F238E27FC236}">
              <a16:creationId xmlns:a16="http://schemas.microsoft.com/office/drawing/2014/main" id="{FBA62D48-6D9C-C348-AC2A-B051F1953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editAs="oneCell">
    <xdr:from>
      <xdr:col>6</xdr:col>
      <xdr:colOff>0</xdr:colOff>
      <xdr:row>431</xdr:row>
      <xdr:rowOff>3319</xdr:rowOff>
    </xdr:from>
    <xdr:to>
      <xdr:col>15</xdr:col>
      <xdr:colOff>704117</xdr:colOff>
      <xdr:row>450</xdr:row>
      <xdr:rowOff>1319</xdr:rowOff>
    </xdr:to>
    <xdr:graphicFrame macro="">
      <xdr:nvGraphicFramePr>
        <xdr:cNvPr id="10" name="Chart 9">
          <a:extLst>
            <a:ext uri="{FF2B5EF4-FFF2-40B4-BE49-F238E27FC236}">
              <a16:creationId xmlns:a16="http://schemas.microsoft.com/office/drawing/2014/main" id="{6480BFEA-D3AA-DC49-B471-FB9D81AA1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editAs="oneCell">
    <xdr:from>
      <xdr:col>6</xdr:col>
      <xdr:colOff>0</xdr:colOff>
      <xdr:row>264</xdr:row>
      <xdr:rowOff>0</xdr:rowOff>
    </xdr:from>
    <xdr:to>
      <xdr:col>15</xdr:col>
      <xdr:colOff>704117</xdr:colOff>
      <xdr:row>277</xdr:row>
      <xdr:rowOff>60700</xdr:rowOff>
    </xdr:to>
    <xdr:graphicFrame macro="">
      <xdr:nvGraphicFramePr>
        <xdr:cNvPr id="5" name="Chart 4">
          <a:extLst>
            <a:ext uri="{FF2B5EF4-FFF2-40B4-BE49-F238E27FC236}">
              <a16:creationId xmlns:a16="http://schemas.microsoft.com/office/drawing/2014/main" id="{8CB47906-EE2A-5549-9DEE-A2C1B06BC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editAs="oneCell">
    <xdr:from>
      <xdr:col>6</xdr:col>
      <xdr:colOff>0</xdr:colOff>
      <xdr:row>296</xdr:row>
      <xdr:rowOff>0</xdr:rowOff>
    </xdr:from>
    <xdr:to>
      <xdr:col>15</xdr:col>
      <xdr:colOff>704117</xdr:colOff>
      <xdr:row>309</xdr:row>
      <xdr:rowOff>251200</xdr:rowOff>
    </xdr:to>
    <xdr:graphicFrame macro="">
      <xdr:nvGraphicFramePr>
        <xdr:cNvPr id="6" name="Chart 5">
          <a:extLst>
            <a:ext uri="{FF2B5EF4-FFF2-40B4-BE49-F238E27FC236}">
              <a16:creationId xmlns:a16="http://schemas.microsoft.com/office/drawing/2014/main" id="{37279D15-094C-3E46-96D1-A99259A16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editAs="oneCell">
    <xdr:from>
      <xdr:col>6</xdr:col>
      <xdr:colOff>0</xdr:colOff>
      <xdr:row>312</xdr:row>
      <xdr:rowOff>0</xdr:rowOff>
    </xdr:from>
    <xdr:to>
      <xdr:col>15</xdr:col>
      <xdr:colOff>704117</xdr:colOff>
      <xdr:row>325</xdr:row>
      <xdr:rowOff>251200</xdr:rowOff>
    </xdr:to>
    <xdr:graphicFrame macro="">
      <xdr:nvGraphicFramePr>
        <xdr:cNvPr id="9" name="Chart 8">
          <a:extLst>
            <a:ext uri="{FF2B5EF4-FFF2-40B4-BE49-F238E27FC236}">
              <a16:creationId xmlns:a16="http://schemas.microsoft.com/office/drawing/2014/main" id="{3B50BA60-422C-CD40-B6CF-C0301F316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twoCellAnchor editAs="oneCell">
    <xdr:from>
      <xdr:col>6</xdr:col>
      <xdr:colOff>0</xdr:colOff>
      <xdr:row>11</xdr:row>
      <xdr:rowOff>0</xdr:rowOff>
    </xdr:from>
    <xdr:to>
      <xdr:col>15</xdr:col>
      <xdr:colOff>704117</xdr:colOff>
      <xdr:row>24</xdr:row>
      <xdr:rowOff>251200</xdr:rowOff>
    </xdr:to>
    <xdr:graphicFrame macro="">
      <xdr:nvGraphicFramePr>
        <xdr:cNvPr id="11" name="Chart 10">
          <a:extLst>
            <a:ext uri="{FF2B5EF4-FFF2-40B4-BE49-F238E27FC236}">
              <a16:creationId xmlns:a16="http://schemas.microsoft.com/office/drawing/2014/main" id="{BE47BB8B-20A0-CF47-85ED-1D6A7BCD8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twoCellAnchor>
  <xdr:twoCellAnchor editAs="oneCell">
    <xdr:from>
      <xdr:col>6</xdr:col>
      <xdr:colOff>0</xdr:colOff>
      <xdr:row>124</xdr:row>
      <xdr:rowOff>0</xdr:rowOff>
    </xdr:from>
    <xdr:to>
      <xdr:col>15</xdr:col>
      <xdr:colOff>704117</xdr:colOff>
      <xdr:row>139</xdr:row>
      <xdr:rowOff>247200</xdr:rowOff>
    </xdr:to>
    <xdr:graphicFrame macro="">
      <xdr:nvGraphicFramePr>
        <xdr:cNvPr id="21" name="Chart 20">
          <a:extLst>
            <a:ext uri="{FF2B5EF4-FFF2-40B4-BE49-F238E27FC236}">
              <a16:creationId xmlns:a16="http://schemas.microsoft.com/office/drawing/2014/main" id="{8EAF2CBF-9273-DC47-A4EE-67573C6BB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twoCellAnchor>
  <xdr:twoCellAnchor editAs="oneCell">
    <xdr:from>
      <xdr:col>6</xdr:col>
      <xdr:colOff>0</xdr:colOff>
      <xdr:row>44</xdr:row>
      <xdr:rowOff>0</xdr:rowOff>
    </xdr:from>
    <xdr:to>
      <xdr:col>15</xdr:col>
      <xdr:colOff>704117</xdr:colOff>
      <xdr:row>57</xdr:row>
      <xdr:rowOff>251200</xdr:rowOff>
    </xdr:to>
    <xdr:graphicFrame macro="">
      <xdr:nvGraphicFramePr>
        <xdr:cNvPr id="22" name="Chart 21">
          <a:extLst>
            <a:ext uri="{FF2B5EF4-FFF2-40B4-BE49-F238E27FC236}">
              <a16:creationId xmlns:a16="http://schemas.microsoft.com/office/drawing/2014/main" id="{77C7EEBF-FB60-7441-8027-EB1F9EE54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twoCellAnchor>
  <xdr:twoCellAnchor editAs="oneCell">
    <xdr:from>
      <xdr:col>6</xdr:col>
      <xdr:colOff>0</xdr:colOff>
      <xdr:row>60</xdr:row>
      <xdr:rowOff>0</xdr:rowOff>
    </xdr:from>
    <xdr:to>
      <xdr:col>15</xdr:col>
      <xdr:colOff>704117</xdr:colOff>
      <xdr:row>73</xdr:row>
      <xdr:rowOff>251200</xdr:rowOff>
    </xdr:to>
    <xdr:graphicFrame macro="">
      <xdr:nvGraphicFramePr>
        <xdr:cNvPr id="23" name="Chart 22">
          <a:extLst>
            <a:ext uri="{FF2B5EF4-FFF2-40B4-BE49-F238E27FC236}">
              <a16:creationId xmlns:a16="http://schemas.microsoft.com/office/drawing/2014/main" id="{10A74FA0-16A9-6242-A92D-0C0431846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twoCellAnchor>
  <xdr:twoCellAnchor editAs="oneCell">
    <xdr:from>
      <xdr:col>6</xdr:col>
      <xdr:colOff>0</xdr:colOff>
      <xdr:row>76</xdr:row>
      <xdr:rowOff>0</xdr:rowOff>
    </xdr:from>
    <xdr:to>
      <xdr:col>15</xdr:col>
      <xdr:colOff>704117</xdr:colOff>
      <xdr:row>89</xdr:row>
      <xdr:rowOff>251200</xdr:rowOff>
    </xdr:to>
    <xdr:graphicFrame macro="">
      <xdr:nvGraphicFramePr>
        <xdr:cNvPr id="26" name="Chart 25">
          <a:extLst>
            <a:ext uri="{FF2B5EF4-FFF2-40B4-BE49-F238E27FC236}">
              <a16:creationId xmlns:a16="http://schemas.microsoft.com/office/drawing/2014/main" id="{E50D19E1-DF80-0840-AEFA-453ED0EF4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twoCellAnchor>
  <xdr:twoCellAnchor editAs="oneCell">
    <xdr:from>
      <xdr:col>6</xdr:col>
      <xdr:colOff>0</xdr:colOff>
      <xdr:row>191</xdr:row>
      <xdr:rowOff>0</xdr:rowOff>
    </xdr:from>
    <xdr:to>
      <xdr:col>15</xdr:col>
      <xdr:colOff>704117</xdr:colOff>
      <xdr:row>204</xdr:row>
      <xdr:rowOff>251200</xdr:rowOff>
    </xdr:to>
    <xdr:graphicFrame macro="">
      <xdr:nvGraphicFramePr>
        <xdr:cNvPr id="27" name="Chart 26">
          <a:extLst>
            <a:ext uri="{FF2B5EF4-FFF2-40B4-BE49-F238E27FC236}">
              <a16:creationId xmlns:a16="http://schemas.microsoft.com/office/drawing/2014/main" id="{28452319-759A-EF42-8010-2D457BB3C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twoCellAnchor>
  <xdr:oneCellAnchor>
    <xdr:from>
      <xdr:col>13</xdr:col>
      <xdr:colOff>674893</xdr:colOff>
      <xdr:row>2</xdr:row>
      <xdr:rowOff>0</xdr:rowOff>
    </xdr:from>
    <xdr:ext cx="1908000" cy="395859"/>
    <xdr:sp macro="" textlink="">
      <xdr:nvSpPr>
        <xdr:cNvPr id="35" name="TextBox 34">
          <a:hlinkClick xmlns:r="http://schemas.openxmlformats.org/officeDocument/2006/relationships" r:id="rId13"/>
          <a:extLst>
            <a:ext uri="{FF2B5EF4-FFF2-40B4-BE49-F238E27FC236}">
              <a16:creationId xmlns:a16="http://schemas.microsoft.com/office/drawing/2014/main" id="{25ED9724-9407-5748-8E12-602851DF36CE}"/>
            </a:ext>
          </a:extLst>
        </xdr:cNvPr>
        <xdr:cNvSpPr txBox="1"/>
      </xdr:nvSpPr>
      <xdr:spPr>
        <a:xfrm>
          <a:off x="13133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11</xdr:col>
      <xdr:colOff>0</xdr:colOff>
      <xdr:row>2</xdr:row>
      <xdr:rowOff>0</xdr:rowOff>
    </xdr:from>
    <xdr:ext cx="1908000" cy="395859"/>
    <xdr:sp macro="" textlink="">
      <xdr:nvSpPr>
        <xdr:cNvPr id="37" name="TextBox 36">
          <a:hlinkClick xmlns:r="http://schemas.openxmlformats.org/officeDocument/2006/relationships" r:id="rId14"/>
          <a:extLst>
            <a:ext uri="{FF2B5EF4-FFF2-40B4-BE49-F238E27FC236}">
              <a16:creationId xmlns:a16="http://schemas.microsoft.com/office/drawing/2014/main" id="{9A675169-CE50-FB46-A37D-6EFF79FEC911}"/>
            </a:ext>
          </a:extLst>
        </xdr:cNvPr>
        <xdr:cNvSpPr txBox="1"/>
      </xdr:nvSpPr>
      <xdr:spPr>
        <a:xfrm>
          <a:off x="10807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oneCellAnchor>
    <xdr:from>
      <xdr:col>19</xdr:col>
      <xdr:colOff>0</xdr:colOff>
      <xdr:row>29</xdr:row>
      <xdr:rowOff>15645</xdr:rowOff>
    </xdr:from>
    <xdr:ext cx="1368000" cy="224224"/>
    <xdr:sp macro="" textlink="">
      <xdr:nvSpPr>
        <xdr:cNvPr id="90" name="TextBox 89">
          <a:hlinkClick xmlns:r="http://schemas.openxmlformats.org/officeDocument/2006/relationships" r:id="rId15"/>
          <a:extLst>
            <a:ext uri="{FF2B5EF4-FFF2-40B4-BE49-F238E27FC236}">
              <a16:creationId xmlns:a16="http://schemas.microsoft.com/office/drawing/2014/main" id="{66D7D1E0-0A45-7649-A705-A34FF280F4C2}"/>
            </a:ext>
          </a:extLst>
        </xdr:cNvPr>
        <xdr:cNvSpPr txBox="1"/>
      </xdr:nvSpPr>
      <xdr:spPr>
        <a:xfrm>
          <a:off x="21704300" y="44098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EBQ </a:t>
          </a:r>
          <a:r>
            <a:rPr lang="en-GB" sz="1200" b="0">
              <a:solidFill>
                <a:schemeClr val="bg1"/>
              </a:solidFill>
              <a:latin typeface="+mj-lt"/>
            </a:rPr>
            <a:t>profile</a:t>
          </a:r>
        </a:p>
      </xdr:txBody>
    </xdr:sp>
    <xdr:clientData/>
  </xdr:oneCellAnchor>
  <xdr:oneCellAnchor>
    <xdr:from>
      <xdr:col>19</xdr:col>
      <xdr:colOff>0</xdr:colOff>
      <xdr:row>30</xdr:row>
      <xdr:rowOff>15645</xdr:rowOff>
    </xdr:from>
    <xdr:ext cx="1368000" cy="224224"/>
    <xdr:sp macro="" textlink="">
      <xdr:nvSpPr>
        <xdr:cNvPr id="91" name="TextBox 90">
          <a:hlinkClick xmlns:r="http://schemas.openxmlformats.org/officeDocument/2006/relationships" r:id="rId16"/>
          <a:extLst>
            <a:ext uri="{FF2B5EF4-FFF2-40B4-BE49-F238E27FC236}">
              <a16:creationId xmlns:a16="http://schemas.microsoft.com/office/drawing/2014/main" id="{31FA96B5-C6F7-544F-8ED8-2CFC53E90A42}"/>
            </a:ext>
          </a:extLst>
        </xdr:cNvPr>
        <xdr:cNvSpPr txBox="1"/>
      </xdr:nvSpPr>
      <xdr:spPr>
        <a:xfrm>
          <a:off x="21704300" y="46638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ERQ </a:t>
          </a:r>
          <a:r>
            <a:rPr lang="en-GB" sz="1200" b="0">
              <a:solidFill>
                <a:schemeClr val="bg1"/>
              </a:solidFill>
              <a:latin typeface="+mj-lt"/>
            </a:rPr>
            <a:t>profile</a:t>
          </a:r>
        </a:p>
      </xdr:txBody>
    </xdr:sp>
    <xdr:clientData/>
  </xdr:oneCellAnchor>
  <xdr:oneCellAnchor>
    <xdr:from>
      <xdr:col>19</xdr:col>
      <xdr:colOff>0</xdr:colOff>
      <xdr:row>11</xdr:row>
      <xdr:rowOff>15645</xdr:rowOff>
    </xdr:from>
    <xdr:ext cx="1368000" cy="224224"/>
    <xdr:sp macro="" textlink="">
      <xdr:nvSpPr>
        <xdr:cNvPr id="92" name="TextBox 91">
          <a:hlinkClick xmlns:r="http://schemas.openxmlformats.org/officeDocument/2006/relationships" r:id="rId17"/>
          <a:extLst>
            <a:ext uri="{FF2B5EF4-FFF2-40B4-BE49-F238E27FC236}">
              <a16:creationId xmlns:a16="http://schemas.microsoft.com/office/drawing/2014/main" id="{90F30ECB-55C0-9347-B6E2-33BA93F645C8}"/>
            </a:ext>
          </a:extLst>
        </xdr:cNvPr>
        <xdr:cNvSpPr txBox="1"/>
      </xdr:nvSpPr>
      <xdr:spPr>
        <a:xfrm>
          <a:off x="21704300" y="51718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DASS-21 </a:t>
          </a:r>
          <a:r>
            <a:rPr lang="en-GB" sz="1200" b="0">
              <a:solidFill>
                <a:schemeClr val="bg1"/>
              </a:solidFill>
              <a:latin typeface="+mj-lt"/>
            </a:rPr>
            <a:t>profile</a:t>
          </a:r>
        </a:p>
      </xdr:txBody>
    </xdr:sp>
    <xdr:clientData/>
  </xdr:oneCellAnchor>
  <xdr:oneCellAnchor>
    <xdr:from>
      <xdr:col>19</xdr:col>
      <xdr:colOff>0</xdr:colOff>
      <xdr:row>18</xdr:row>
      <xdr:rowOff>15645</xdr:rowOff>
    </xdr:from>
    <xdr:ext cx="1368000" cy="224224"/>
    <xdr:sp macro="" textlink="">
      <xdr:nvSpPr>
        <xdr:cNvPr id="93" name="TextBox 92">
          <a:hlinkClick xmlns:r="http://schemas.openxmlformats.org/officeDocument/2006/relationships" r:id="rId18"/>
          <a:extLst>
            <a:ext uri="{FF2B5EF4-FFF2-40B4-BE49-F238E27FC236}">
              <a16:creationId xmlns:a16="http://schemas.microsoft.com/office/drawing/2014/main" id="{FC79B0BD-BE73-E745-BDE3-F53E09E06D62}"/>
            </a:ext>
          </a:extLst>
        </xdr:cNvPr>
        <xdr:cNvSpPr txBox="1"/>
      </xdr:nvSpPr>
      <xdr:spPr>
        <a:xfrm>
          <a:off x="21704300" y="54258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DSM-5 </a:t>
          </a:r>
          <a:r>
            <a:rPr lang="en-GB" sz="1200" b="0">
              <a:solidFill>
                <a:schemeClr val="bg1"/>
              </a:solidFill>
              <a:latin typeface="+mj-lt"/>
            </a:rPr>
            <a:t>profile</a:t>
          </a:r>
        </a:p>
      </xdr:txBody>
    </xdr:sp>
    <xdr:clientData/>
  </xdr:oneCellAnchor>
  <xdr:oneCellAnchor>
    <xdr:from>
      <xdr:col>19</xdr:col>
      <xdr:colOff>0</xdr:colOff>
      <xdr:row>13</xdr:row>
      <xdr:rowOff>15645</xdr:rowOff>
    </xdr:from>
    <xdr:ext cx="1368000" cy="224224"/>
    <xdr:sp macro="" textlink="">
      <xdr:nvSpPr>
        <xdr:cNvPr id="94" name="TextBox 93">
          <a:hlinkClick xmlns:r="http://schemas.openxmlformats.org/officeDocument/2006/relationships" r:id="rId19"/>
          <a:extLst>
            <a:ext uri="{FF2B5EF4-FFF2-40B4-BE49-F238E27FC236}">
              <a16:creationId xmlns:a16="http://schemas.microsoft.com/office/drawing/2014/main" id="{AAA742A4-DAEC-A547-BBFB-2D00A248C863}"/>
            </a:ext>
          </a:extLst>
        </xdr:cNvPr>
        <xdr:cNvSpPr txBox="1"/>
      </xdr:nvSpPr>
      <xdr:spPr>
        <a:xfrm>
          <a:off x="21704300" y="56798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K10 </a:t>
          </a:r>
          <a:r>
            <a:rPr lang="en-GB" sz="1200" b="0">
              <a:solidFill>
                <a:schemeClr val="bg1"/>
              </a:solidFill>
              <a:latin typeface="+mj-lt"/>
            </a:rPr>
            <a:t>profile</a:t>
          </a:r>
        </a:p>
      </xdr:txBody>
    </xdr:sp>
    <xdr:clientData/>
  </xdr:oneCellAnchor>
  <xdr:oneCellAnchor>
    <xdr:from>
      <xdr:col>19</xdr:col>
      <xdr:colOff>0</xdr:colOff>
      <xdr:row>14</xdr:row>
      <xdr:rowOff>15645</xdr:rowOff>
    </xdr:from>
    <xdr:ext cx="1368000" cy="224224"/>
    <xdr:sp macro="" textlink="">
      <xdr:nvSpPr>
        <xdr:cNvPr id="95" name="TextBox 94">
          <a:hlinkClick xmlns:r="http://schemas.openxmlformats.org/officeDocument/2006/relationships" r:id="rId20"/>
          <a:extLst>
            <a:ext uri="{FF2B5EF4-FFF2-40B4-BE49-F238E27FC236}">
              <a16:creationId xmlns:a16="http://schemas.microsoft.com/office/drawing/2014/main" id="{847FF528-76A4-E040-80D0-6471BC7734A8}"/>
            </a:ext>
          </a:extLst>
        </xdr:cNvPr>
        <xdr:cNvSpPr txBox="1"/>
      </xdr:nvSpPr>
      <xdr:spPr>
        <a:xfrm>
          <a:off x="21704300" y="59338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GAD-7 </a:t>
          </a:r>
          <a:r>
            <a:rPr lang="en-GB" sz="1200" b="0">
              <a:solidFill>
                <a:schemeClr val="bg1"/>
              </a:solidFill>
              <a:latin typeface="+mj-lt"/>
            </a:rPr>
            <a:t>profile</a:t>
          </a:r>
        </a:p>
      </xdr:txBody>
    </xdr:sp>
    <xdr:clientData/>
  </xdr:oneCellAnchor>
  <xdr:oneCellAnchor>
    <xdr:from>
      <xdr:col>19</xdr:col>
      <xdr:colOff>0</xdr:colOff>
      <xdr:row>15</xdr:row>
      <xdr:rowOff>15645</xdr:rowOff>
    </xdr:from>
    <xdr:ext cx="1368000" cy="224224"/>
    <xdr:sp macro="" textlink="">
      <xdr:nvSpPr>
        <xdr:cNvPr id="96" name="TextBox 95">
          <a:hlinkClick xmlns:r="http://schemas.openxmlformats.org/officeDocument/2006/relationships" r:id="rId21"/>
          <a:extLst>
            <a:ext uri="{FF2B5EF4-FFF2-40B4-BE49-F238E27FC236}">
              <a16:creationId xmlns:a16="http://schemas.microsoft.com/office/drawing/2014/main" id="{20D4612B-1208-7E49-B0CA-B89E934562AA}"/>
            </a:ext>
          </a:extLst>
        </xdr:cNvPr>
        <xdr:cNvSpPr txBox="1"/>
      </xdr:nvSpPr>
      <xdr:spPr>
        <a:xfrm>
          <a:off x="21704300" y="61878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PHQ-9 </a:t>
          </a:r>
          <a:r>
            <a:rPr lang="en-GB" sz="1200" b="0">
              <a:solidFill>
                <a:schemeClr val="bg1"/>
              </a:solidFill>
              <a:latin typeface="+mj-lt"/>
            </a:rPr>
            <a:t>profile</a:t>
          </a:r>
        </a:p>
      </xdr:txBody>
    </xdr:sp>
    <xdr:clientData/>
  </xdr:oneCellAnchor>
  <xdr:oneCellAnchor>
    <xdr:from>
      <xdr:col>19</xdr:col>
      <xdr:colOff>0</xdr:colOff>
      <xdr:row>22</xdr:row>
      <xdr:rowOff>15645</xdr:rowOff>
    </xdr:from>
    <xdr:ext cx="1368000" cy="224224"/>
    <xdr:sp macro="" textlink="">
      <xdr:nvSpPr>
        <xdr:cNvPr id="97" name="TextBox 96">
          <a:hlinkClick xmlns:r="http://schemas.openxmlformats.org/officeDocument/2006/relationships" r:id="rId22"/>
          <a:extLst>
            <a:ext uri="{FF2B5EF4-FFF2-40B4-BE49-F238E27FC236}">
              <a16:creationId xmlns:a16="http://schemas.microsoft.com/office/drawing/2014/main" id="{0687A69B-877E-F640-A19C-033237ADBE43}"/>
            </a:ext>
          </a:extLst>
        </xdr:cNvPr>
        <xdr:cNvSpPr txBox="1"/>
      </xdr:nvSpPr>
      <xdr:spPr>
        <a:xfrm>
          <a:off x="21704300" y="64418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AUDIT </a:t>
          </a:r>
          <a:r>
            <a:rPr lang="en-GB" sz="1200" b="0">
              <a:solidFill>
                <a:schemeClr val="bg1"/>
              </a:solidFill>
              <a:latin typeface="+mj-lt"/>
            </a:rPr>
            <a:t>profile</a:t>
          </a:r>
        </a:p>
      </xdr:txBody>
    </xdr:sp>
    <xdr:clientData/>
  </xdr:oneCellAnchor>
  <xdr:oneCellAnchor>
    <xdr:from>
      <xdr:col>19</xdr:col>
      <xdr:colOff>0</xdr:colOff>
      <xdr:row>24</xdr:row>
      <xdr:rowOff>7822</xdr:rowOff>
    </xdr:from>
    <xdr:ext cx="1368000" cy="224224"/>
    <xdr:sp macro="" textlink="">
      <xdr:nvSpPr>
        <xdr:cNvPr id="106" name="TextBox 105">
          <a:hlinkClick xmlns:r="http://schemas.openxmlformats.org/officeDocument/2006/relationships" r:id="rId23"/>
          <a:extLst>
            <a:ext uri="{FF2B5EF4-FFF2-40B4-BE49-F238E27FC236}">
              <a16:creationId xmlns:a16="http://schemas.microsoft.com/office/drawing/2014/main" id="{160F29B5-9A47-FE4A-B348-85D4A938742B}"/>
            </a:ext>
          </a:extLst>
        </xdr:cNvPr>
        <xdr:cNvSpPr txBox="1"/>
      </xdr:nvSpPr>
      <xdr:spPr>
        <a:xfrm>
          <a:off x="21704300" y="3386022"/>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PAQ </a:t>
          </a:r>
          <a:r>
            <a:rPr lang="en-GB" sz="1200" b="0">
              <a:solidFill>
                <a:schemeClr val="bg1"/>
              </a:solidFill>
              <a:latin typeface="+mj-lt"/>
            </a:rPr>
            <a:t>profile</a:t>
          </a:r>
        </a:p>
      </xdr:txBody>
    </xdr:sp>
    <xdr:clientData/>
  </xdr:oneCellAnchor>
  <xdr:oneCellAnchor>
    <xdr:from>
      <xdr:col>19</xdr:col>
      <xdr:colOff>0</xdr:colOff>
      <xdr:row>26</xdr:row>
      <xdr:rowOff>0</xdr:rowOff>
    </xdr:from>
    <xdr:ext cx="1368000" cy="224224"/>
    <xdr:sp macro="" textlink="">
      <xdr:nvSpPr>
        <xdr:cNvPr id="110" name="TextBox 109">
          <a:hlinkClick xmlns:r="http://schemas.openxmlformats.org/officeDocument/2006/relationships" r:id="rId24"/>
          <a:extLst>
            <a:ext uri="{FF2B5EF4-FFF2-40B4-BE49-F238E27FC236}">
              <a16:creationId xmlns:a16="http://schemas.microsoft.com/office/drawing/2014/main" id="{5C083794-B986-8448-979A-7181C5B84BD0}"/>
            </a:ext>
          </a:extLst>
        </xdr:cNvPr>
        <xdr:cNvSpPr txBox="1"/>
      </xdr:nvSpPr>
      <xdr:spPr>
        <a:xfrm>
          <a:off x="21805900" y="36322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PERCI </a:t>
          </a:r>
          <a:r>
            <a:rPr lang="en-GB" sz="1200" b="0">
              <a:solidFill>
                <a:schemeClr val="bg1"/>
              </a:solidFill>
              <a:latin typeface="+mj-lt"/>
            </a:rPr>
            <a:t>profile</a:t>
          </a:r>
        </a:p>
      </xdr:txBody>
    </xdr:sp>
    <xdr:clientData/>
  </xdr:oneCellAnchor>
  <xdr:oneCellAnchor>
    <xdr:from>
      <xdr:col>18</xdr:col>
      <xdr:colOff>0</xdr:colOff>
      <xdr:row>264</xdr:row>
      <xdr:rowOff>0</xdr:rowOff>
    </xdr:from>
    <xdr:ext cx="1545804" cy="255514"/>
    <xdr:sp macro="" textlink="">
      <xdr:nvSpPr>
        <xdr:cNvPr id="112" name="TextBox 111">
          <a:hlinkClick xmlns:r="http://schemas.openxmlformats.org/officeDocument/2006/relationships" r:id="rId25"/>
          <a:extLst>
            <a:ext uri="{FF2B5EF4-FFF2-40B4-BE49-F238E27FC236}">
              <a16:creationId xmlns:a16="http://schemas.microsoft.com/office/drawing/2014/main" id="{AC083127-A106-2546-9DFE-2180D8232A2A}"/>
            </a:ext>
          </a:extLst>
        </xdr:cNvPr>
        <xdr:cNvSpPr txBox="1"/>
      </xdr:nvSpPr>
      <xdr:spPr>
        <a:xfrm>
          <a:off x="16586200" y="131572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18</xdr:col>
      <xdr:colOff>0</xdr:colOff>
      <xdr:row>296</xdr:row>
      <xdr:rowOff>0</xdr:rowOff>
    </xdr:from>
    <xdr:ext cx="1545804" cy="255514"/>
    <xdr:sp macro="" textlink="">
      <xdr:nvSpPr>
        <xdr:cNvPr id="113" name="TextBox 112">
          <a:hlinkClick xmlns:r="http://schemas.openxmlformats.org/officeDocument/2006/relationships" r:id="rId25"/>
          <a:extLst>
            <a:ext uri="{FF2B5EF4-FFF2-40B4-BE49-F238E27FC236}">
              <a16:creationId xmlns:a16="http://schemas.microsoft.com/office/drawing/2014/main" id="{42BC4302-EE88-D649-8DAB-9EFF9DE9523F}"/>
            </a:ext>
          </a:extLst>
        </xdr:cNvPr>
        <xdr:cNvSpPr txBox="1"/>
      </xdr:nvSpPr>
      <xdr:spPr>
        <a:xfrm>
          <a:off x="16586200" y="17411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18</xdr:col>
      <xdr:colOff>0</xdr:colOff>
      <xdr:row>312</xdr:row>
      <xdr:rowOff>0</xdr:rowOff>
    </xdr:from>
    <xdr:ext cx="1545804" cy="255514"/>
    <xdr:sp macro="" textlink="">
      <xdr:nvSpPr>
        <xdr:cNvPr id="114" name="TextBox 113">
          <a:hlinkClick xmlns:r="http://schemas.openxmlformats.org/officeDocument/2006/relationships" r:id="rId25"/>
          <a:extLst>
            <a:ext uri="{FF2B5EF4-FFF2-40B4-BE49-F238E27FC236}">
              <a16:creationId xmlns:a16="http://schemas.microsoft.com/office/drawing/2014/main" id="{4F0F05BF-80F9-DA43-ABC9-1CD368F9350E}"/>
            </a:ext>
          </a:extLst>
        </xdr:cNvPr>
        <xdr:cNvSpPr txBox="1"/>
      </xdr:nvSpPr>
      <xdr:spPr>
        <a:xfrm>
          <a:off x="16586200" y="216662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18</xdr:col>
      <xdr:colOff>0</xdr:colOff>
      <xdr:row>209</xdr:row>
      <xdr:rowOff>0</xdr:rowOff>
    </xdr:from>
    <xdr:ext cx="1545804" cy="255514"/>
    <xdr:sp macro="" textlink="">
      <xdr:nvSpPr>
        <xdr:cNvPr id="117" name="TextBox 116">
          <a:hlinkClick xmlns:r="http://schemas.openxmlformats.org/officeDocument/2006/relationships" r:id="rId25"/>
          <a:extLst>
            <a:ext uri="{FF2B5EF4-FFF2-40B4-BE49-F238E27FC236}">
              <a16:creationId xmlns:a16="http://schemas.microsoft.com/office/drawing/2014/main" id="{B9F196AE-B26B-F947-8F79-4E74347E8050}"/>
            </a:ext>
          </a:extLst>
        </xdr:cNvPr>
        <xdr:cNvSpPr txBox="1"/>
      </xdr:nvSpPr>
      <xdr:spPr>
        <a:xfrm>
          <a:off x="16586200" y="301752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18</xdr:col>
      <xdr:colOff>0</xdr:colOff>
      <xdr:row>76</xdr:row>
      <xdr:rowOff>0</xdr:rowOff>
    </xdr:from>
    <xdr:ext cx="1545804" cy="255514"/>
    <xdr:sp macro="" textlink="">
      <xdr:nvSpPr>
        <xdr:cNvPr id="118" name="TextBox 117">
          <a:hlinkClick xmlns:r="http://schemas.openxmlformats.org/officeDocument/2006/relationships" r:id="rId25"/>
          <a:extLst>
            <a:ext uri="{FF2B5EF4-FFF2-40B4-BE49-F238E27FC236}">
              <a16:creationId xmlns:a16="http://schemas.microsoft.com/office/drawing/2014/main" id="{917E74C6-4B78-7746-91CD-6AA2BD6303DA}"/>
            </a:ext>
          </a:extLst>
        </xdr:cNvPr>
        <xdr:cNvSpPr txBox="1"/>
      </xdr:nvSpPr>
      <xdr:spPr>
        <a:xfrm>
          <a:off x="16586200" y="34937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18</xdr:col>
      <xdr:colOff>0</xdr:colOff>
      <xdr:row>124</xdr:row>
      <xdr:rowOff>0</xdr:rowOff>
    </xdr:from>
    <xdr:ext cx="1545804" cy="255514"/>
    <xdr:sp macro="" textlink="">
      <xdr:nvSpPr>
        <xdr:cNvPr id="119" name="TextBox 118">
          <a:hlinkClick xmlns:r="http://schemas.openxmlformats.org/officeDocument/2006/relationships" r:id="rId25"/>
          <a:extLst>
            <a:ext uri="{FF2B5EF4-FFF2-40B4-BE49-F238E27FC236}">
              <a16:creationId xmlns:a16="http://schemas.microsoft.com/office/drawing/2014/main" id="{A3BE7139-8444-8640-A772-3E7818936CC9}"/>
            </a:ext>
          </a:extLst>
        </xdr:cNvPr>
        <xdr:cNvSpPr txBox="1"/>
      </xdr:nvSpPr>
      <xdr:spPr>
        <a:xfrm>
          <a:off x="16586200" y="391922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18</xdr:col>
      <xdr:colOff>0</xdr:colOff>
      <xdr:row>191</xdr:row>
      <xdr:rowOff>0</xdr:rowOff>
    </xdr:from>
    <xdr:ext cx="1545804" cy="255514"/>
    <xdr:sp macro="" textlink="">
      <xdr:nvSpPr>
        <xdr:cNvPr id="120" name="TextBox 119">
          <a:hlinkClick xmlns:r="http://schemas.openxmlformats.org/officeDocument/2006/relationships" r:id="rId25"/>
          <a:extLst>
            <a:ext uri="{FF2B5EF4-FFF2-40B4-BE49-F238E27FC236}">
              <a16:creationId xmlns:a16="http://schemas.microsoft.com/office/drawing/2014/main" id="{01D54BA2-6C8A-0A40-81AC-127E44ADE0B1}"/>
            </a:ext>
          </a:extLst>
        </xdr:cNvPr>
        <xdr:cNvSpPr txBox="1"/>
      </xdr:nvSpPr>
      <xdr:spPr>
        <a:xfrm>
          <a:off x="16586200" y="43446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18</xdr:col>
      <xdr:colOff>0</xdr:colOff>
      <xdr:row>244</xdr:row>
      <xdr:rowOff>0</xdr:rowOff>
    </xdr:from>
    <xdr:ext cx="1545804" cy="255514"/>
    <xdr:sp macro="" textlink="">
      <xdr:nvSpPr>
        <xdr:cNvPr id="121" name="TextBox 120">
          <a:hlinkClick xmlns:r="http://schemas.openxmlformats.org/officeDocument/2006/relationships" r:id="rId25"/>
          <a:extLst>
            <a:ext uri="{FF2B5EF4-FFF2-40B4-BE49-F238E27FC236}">
              <a16:creationId xmlns:a16="http://schemas.microsoft.com/office/drawing/2014/main" id="{54D2CC0B-57BC-244F-9A66-017E77E1445A}"/>
            </a:ext>
          </a:extLst>
        </xdr:cNvPr>
        <xdr:cNvSpPr txBox="1"/>
      </xdr:nvSpPr>
      <xdr:spPr>
        <a:xfrm>
          <a:off x="16586200" y="477012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18</xdr:col>
      <xdr:colOff>0</xdr:colOff>
      <xdr:row>431</xdr:row>
      <xdr:rowOff>0</xdr:rowOff>
    </xdr:from>
    <xdr:ext cx="1545804" cy="255514"/>
    <xdr:sp macro="" textlink="">
      <xdr:nvSpPr>
        <xdr:cNvPr id="122" name="TextBox 121">
          <a:hlinkClick xmlns:r="http://schemas.openxmlformats.org/officeDocument/2006/relationships" r:id="rId25"/>
          <a:extLst>
            <a:ext uri="{FF2B5EF4-FFF2-40B4-BE49-F238E27FC236}">
              <a16:creationId xmlns:a16="http://schemas.microsoft.com/office/drawing/2014/main" id="{6E60CA97-757B-AD42-9427-2CA663DA1C0F}"/>
            </a:ext>
          </a:extLst>
        </xdr:cNvPr>
        <xdr:cNvSpPr txBox="1"/>
      </xdr:nvSpPr>
      <xdr:spPr>
        <a:xfrm>
          <a:off x="16586200" y="51955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18</xdr:col>
      <xdr:colOff>0</xdr:colOff>
      <xdr:row>468</xdr:row>
      <xdr:rowOff>0</xdr:rowOff>
    </xdr:from>
    <xdr:ext cx="1545804" cy="255514"/>
    <xdr:sp macro="" textlink="">
      <xdr:nvSpPr>
        <xdr:cNvPr id="123" name="TextBox 122">
          <a:hlinkClick xmlns:r="http://schemas.openxmlformats.org/officeDocument/2006/relationships" r:id="rId25"/>
          <a:extLst>
            <a:ext uri="{FF2B5EF4-FFF2-40B4-BE49-F238E27FC236}">
              <a16:creationId xmlns:a16="http://schemas.microsoft.com/office/drawing/2014/main" id="{83E9BC42-C726-EE41-BE6B-DE308583D1C3}"/>
            </a:ext>
          </a:extLst>
        </xdr:cNvPr>
        <xdr:cNvSpPr txBox="1"/>
      </xdr:nvSpPr>
      <xdr:spPr>
        <a:xfrm>
          <a:off x="16586200" y="615442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0</xdr:col>
      <xdr:colOff>0</xdr:colOff>
      <xdr:row>476</xdr:row>
      <xdr:rowOff>0</xdr:rowOff>
    </xdr:from>
    <xdr:ext cx="1728000" cy="224224"/>
    <xdr:sp macro="" textlink="">
      <xdr:nvSpPr>
        <xdr:cNvPr id="16" name="TextBox 15">
          <a:hlinkClick xmlns:r="http://schemas.openxmlformats.org/officeDocument/2006/relationships" r:id="rId26"/>
          <a:extLst>
            <a:ext uri="{FF2B5EF4-FFF2-40B4-BE49-F238E27FC236}">
              <a16:creationId xmlns:a16="http://schemas.microsoft.com/office/drawing/2014/main" id="{9D4E4EE0-769A-B04B-8FB2-E86BF7BFFE5F}"/>
            </a:ext>
          </a:extLst>
        </xdr:cNvPr>
        <xdr:cNvSpPr txBox="1"/>
      </xdr:nvSpPr>
      <xdr:spPr>
        <a:xfrm>
          <a:off x="0" y="933577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PID-5-BF </a:t>
          </a:r>
          <a:r>
            <a:rPr lang="en-GB" sz="1200" b="0">
              <a:solidFill>
                <a:schemeClr val="bg1"/>
              </a:solidFill>
              <a:latin typeface="+mj-lt"/>
            </a:rPr>
            <a:t>input</a:t>
          </a:r>
        </a:p>
      </xdr:txBody>
    </xdr:sp>
    <xdr:clientData/>
  </xdr:oneCellAnchor>
  <xdr:oneCellAnchor>
    <xdr:from>
      <xdr:col>0</xdr:col>
      <xdr:colOff>0</xdr:colOff>
      <xdr:row>465</xdr:row>
      <xdr:rowOff>0</xdr:rowOff>
    </xdr:from>
    <xdr:ext cx="1728000" cy="224224"/>
    <xdr:sp macro="" textlink="">
      <xdr:nvSpPr>
        <xdr:cNvPr id="18" name="TextBox 17">
          <a:hlinkClick xmlns:r="http://schemas.openxmlformats.org/officeDocument/2006/relationships" r:id="rId27"/>
          <a:extLst>
            <a:ext uri="{FF2B5EF4-FFF2-40B4-BE49-F238E27FC236}">
              <a16:creationId xmlns:a16="http://schemas.microsoft.com/office/drawing/2014/main" id="{F0AF1D1E-92C0-1E41-8B05-6A2E9294B9B0}"/>
            </a:ext>
          </a:extLst>
        </xdr:cNvPr>
        <xdr:cNvSpPr txBox="1"/>
      </xdr:nvSpPr>
      <xdr:spPr>
        <a:xfrm>
          <a:off x="0" y="623697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PID-5 </a:t>
          </a:r>
          <a:r>
            <a:rPr lang="en-GB" sz="1200" b="0">
              <a:solidFill>
                <a:schemeClr val="bg1"/>
              </a:solidFill>
              <a:latin typeface="+mj-lt"/>
            </a:rPr>
            <a:t>input</a:t>
          </a:r>
        </a:p>
      </xdr:txBody>
    </xdr:sp>
    <xdr:clientData/>
  </xdr:oneCellAnchor>
  <xdr:oneCellAnchor>
    <xdr:from>
      <xdr:col>0</xdr:col>
      <xdr:colOff>0</xdr:colOff>
      <xdr:row>195</xdr:row>
      <xdr:rowOff>0</xdr:rowOff>
    </xdr:from>
    <xdr:ext cx="1728000" cy="224224"/>
    <xdr:sp macro="" textlink="">
      <xdr:nvSpPr>
        <xdr:cNvPr id="19" name="TextBox 18">
          <a:hlinkClick xmlns:r="http://schemas.openxmlformats.org/officeDocument/2006/relationships" r:id="rId28"/>
          <a:extLst>
            <a:ext uri="{FF2B5EF4-FFF2-40B4-BE49-F238E27FC236}">
              <a16:creationId xmlns:a16="http://schemas.microsoft.com/office/drawing/2014/main" id="{1035E5C4-7704-6442-A870-16DE442E5BF3}"/>
            </a:ext>
          </a:extLst>
        </xdr:cNvPr>
        <xdr:cNvSpPr txBox="1"/>
      </xdr:nvSpPr>
      <xdr:spPr>
        <a:xfrm>
          <a:off x="0" y="500507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AUDIT </a:t>
          </a:r>
          <a:r>
            <a:rPr lang="en-GB" sz="1200" b="0">
              <a:solidFill>
                <a:schemeClr val="bg1"/>
              </a:solidFill>
              <a:latin typeface="+mj-lt"/>
            </a:rPr>
            <a:t>input</a:t>
          </a:r>
        </a:p>
      </xdr:txBody>
    </xdr:sp>
    <xdr:clientData/>
  </xdr:oneCellAnchor>
  <xdr:oneCellAnchor>
    <xdr:from>
      <xdr:col>0</xdr:col>
      <xdr:colOff>0</xdr:colOff>
      <xdr:row>80</xdr:row>
      <xdr:rowOff>0</xdr:rowOff>
    </xdr:from>
    <xdr:ext cx="1728000" cy="224224"/>
    <xdr:sp macro="" textlink="">
      <xdr:nvSpPr>
        <xdr:cNvPr id="20" name="TextBox 19">
          <a:hlinkClick xmlns:r="http://schemas.openxmlformats.org/officeDocument/2006/relationships" r:id="rId29"/>
          <a:extLst>
            <a:ext uri="{FF2B5EF4-FFF2-40B4-BE49-F238E27FC236}">
              <a16:creationId xmlns:a16="http://schemas.microsoft.com/office/drawing/2014/main" id="{44D4D455-B92F-7942-8A61-4D1728680045}"/>
            </a:ext>
          </a:extLst>
        </xdr:cNvPr>
        <xdr:cNvSpPr txBox="1"/>
      </xdr:nvSpPr>
      <xdr:spPr>
        <a:xfrm>
          <a:off x="0" y="457962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PHQ-9 </a:t>
          </a:r>
          <a:r>
            <a:rPr lang="en-GB" sz="1200" b="0">
              <a:solidFill>
                <a:schemeClr val="bg1"/>
              </a:solidFill>
              <a:latin typeface="+mj-lt"/>
            </a:rPr>
            <a:t>input</a:t>
          </a:r>
        </a:p>
      </xdr:txBody>
    </xdr:sp>
    <xdr:clientData/>
  </xdr:oneCellAnchor>
  <xdr:oneCellAnchor>
    <xdr:from>
      <xdr:col>0</xdr:col>
      <xdr:colOff>0</xdr:colOff>
      <xdr:row>64</xdr:row>
      <xdr:rowOff>0</xdr:rowOff>
    </xdr:from>
    <xdr:ext cx="1728000" cy="224224"/>
    <xdr:sp macro="" textlink="">
      <xdr:nvSpPr>
        <xdr:cNvPr id="24" name="TextBox 23">
          <a:hlinkClick xmlns:r="http://schemas.openxmlformats.org/officeDocument/2006/relationships" r:id="rId30"/>
          <a:extLst>
            <a:ext uri="{FF2B5EF4-FFF2-40B4-BE49-F238E27FC236}">
              <a16:creationId xmlns:a16="http://schemas.microsoft.com/office/drawing/2014/main" id="{A13B83B2-6920-FB4D-AA0D-D00C1F4FE9FF}"/>
            </a:ext>
          </a:extLst>
        </xdr:cNvPr>
        <xdr:cNvSpPr txBox="1"/>
      </xdr:nvSpPr>
      <xdr:spPr>
        <a:xfrm>
          <a:off x="0" y="415417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GAD-7 </a:t>
          </a:r>
          <a:r>
            <a:rPr lang="en-GB" sz="1200" b="0">
              <a:solidFill>
                <a:schemeClr val="bg1"/>
              </a:solidFill>
              <a:latin typeface="+mj-lt"/>
            </a:rPr>
            <a:t>input</a:t>
          </a:r>
        </a:p>
      </xdr:txBody>
    </xdr:sp>
    <xdr:clientData/>
  </xdr:oneCellAnchor>
  <xdr:oneCellAnchor>
    <xdr:from>
      <xdr:col>0</xdr:col>
      <xdr:colOff>0</xdr:colOff>
      <xdr:row>48</xdr:row>
      <xdr:rowOff>0</xdr:rowOff>
    </xdr:from>
    <xdr:ext cx="1728000" cy="224224"/>
    <xdr:sp macro="" textlink="">
      <xdr:nvSpPr>
        <xdr:cNvPr id="25" name="TextBox 24">
          <a:hlinkClick xmlns:r="http://schemas.openxmlformats.org/officeDocument/2006/relationships" r:id="rId31"/>
          <a:extLst>
            <a:ext uri="{FF2B5EF4-FFF2-40B4-BE49-F238E27FC236}">
              <a16:creationId xmlns:a16="http://schemas.microsoft.com/office/drawing/2014/main" id="{69C89478-4422-B74B-BC8E-B2AD3B2F5236}"/>
            </a:ext>
          </a:extLst>
        </xdr:cNvPr>
        <xdr:cNvSpPr txBox="1"/>
      </xdr:nvSpPr>
      <xdr:spPr>
        <a:xfrm>
          <a:off x="0" y="372872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K10 </a:t>
          </a:r>
          <a:r>
            <a:rPr lang="en-GB" sz="1200" b="0">
              <a:solidFill>
                <a:schemeClr val="bg1"/>
              </a:solidFill>
              <a:latin typeface="+mj-lt"/>
            </a:rPr>
            <a:t>input</a:t>
          </a:r>
        </a:p>
      </xdr:txBody>
    </xdr:sp>
    <xdr:clientData/>
  </xdr:oneCellAnchor>
  <xdr:oneCellAnchor>
    <xdr:from>
      <xdr:col>0</xdr:col>
      <xdr:colOff>0</xdr:colOff>
      <xdr:row>140</xdr:row>
      <xdr:rowOff>0</xdr:rowOff>
    </xdr:from>
    <xdr:ext cx="1728000" cy="224224"/>
    <xdr:sp macro="" textlink="">
      <xdr:nvSpPr>
        <xdr:cNvPr id="29" name="TextBox 28">
          <a:hlinkClick xmlns:r="http://schemas.openxmlformats.org/officeDocument/2006/relationships" r:id="rId32"/>
          <a:extLst>
            <a:ext uri="{FF2B5EF4-FFF2-40B4-BE49-F238E27FC236}">
              <a16:creationId xmlns:a16="http://schemas.microsoft.com/office/drawing/2014/main" id="{6873F7DD-0F34-3D4D-BB60-1CE01E213C8F}"/>
            </a:ext>
          </a:extLst>
        </xdr:cNvPr>
        <xdr:cNvSpPr txBox="1"/>
      </xdr:nvSpPr>
      <xdr:spPr>
        <a:xfrm>
          <a:off x="0" y="355727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DSM-5 </a:t>
          </a:r>
          <a:r>
            <a:rPr lang="en-GB" sz="1200" b="0">
              <a:solidFill>
                <a:schemeClr val="bg1"/>
              </a:solidFill>
              <a:latin typeface="+mj-lt"/>
            </a:rPr>
            <a:t>input</a:t>
          </a:r>
        </a:p>
      </xdr:txBody>
    </xdr:sp>
    <xdr:clientData/>
  </xdr:oneCellAnchor>
  <xdr:oneCellAnchor>
    <xdr:from>
      <xdr:col>0</xdr:col>
      <xdr:colOff>0</xdr:colOff>
      <xdr:row>17</xdr:row>
      <xdr:rowOff>0</xdr:rowOff>
    </xdr:from>
    <xdr:ext cx="1728000" cy="224224"/>
    <xdr:sp macro="" textlink="">
      <xdr:nvSpPr>
        <xdr:cNvPr id="30" name="TextBox 29">
          <a:hlinkClick xmlns:r="http://schemas.openxmlformats.org/officeDocument/2006/relationships" r:id="rId33"/>
          <a:extLst>
            <a:ext uri="{FF2B5EF4-FFF2-40B4-BE49-F238E27FC236}">
              <a16:creationId xmlns:a16="http://schemas.microsoft.com/office/drawing/2014/main" id="{62E1C6F9-2595-4B46-9FD9-9924315935AF}"/>
            </a:ext>
          </a:extLst>
        </xdr:cNvPr>
        <xdr:cNvSpPr txBox="1"/>
      </xdr:nvSpPr>
      <xdr:spPr>
        <a:xfrm>
          <a:off x="0" y="287782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DASS-21 </a:t>
          </a:r>
          <a:r>
            <a:rPr lang="en-GB" sz="1200" b="0">
              <a:solidFill>
                <a:schemeClr val="bg1"/>
              </a:solidFill>
              <a:latin typeface="+mj-lt"/>
            </a:rPr>
            <a:t>input</a:t>
          </a:r>
        </a:p>
      </xdr:txBody>
    </xdr:sp>
    <xdr:clientData/>
  </xdr:oneCellAnchor>
  <xdr:oneCellAnchor>
    <xdr:from>
      <xdr:col>0</xdr:col>
      <xdr:colOff>0</xdr:colOff>
      <xdr:row>317</xdr:row>
      <xdr:rowOff>0</xdr:rowOff>
    </xdr:from>
    <xdr:ext cx="1728000" cy="224224"/>
    <xdr:sp macro="" textlink="">
      <xdr:nvSpPr>
        <xdr:cNvPr id="31" name="TextBox 30">
          <a:hlinkClick xmlns:r="http://schemas.openxmlformats.org/officeDocument/2006/relationships" r:id="rId34"/>
          <a:extLst>
            <a:ext uri="{FF2B5EF4-FFF2-40B4-BE49-F238E27FC236}">
              <a16:creationId xmlns:a16="http://schemas.microsoft.com/office/drawing/2014/main" id="{933B41E5-7DEA-0841-9B7F-24A39BD57E7C}"/>
            </a:ext>
          </a:extLst>
        </xdr:cNvPr>
        <xdr:cNvSpPr txBox="1"/>
      </xdr:nvSpPr>
      <xdr:spPr>
        <a:xfrm>
          <a:off x="0" y="238252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ERQ </a:t>
          </a:r>
          <a:r>
            <a:rPr lang="en-GB" sz="1200" b="0">
              <a:solidFill>
                <a:schemeClr val="bg1"/>
              </a:solidFill>
              <a:latin typeface="+mj-lt"/>
            </a:rPr>
            <a:t>input</a:t>
          </a:r>
        </a:p>
      </xdr:txBody>
    </xdr:sp>
    <xdr:clientData/>
  </xdr:oneCellAnchor>
  <xdr:oneCellAnchor>
    <xdr:from>
      <xdr:col>0</xdr:col>
      <xdr:colOff>0</xdr:colOff>
      <xdr:row>307</xdr:row>
      <xdr:rowOff>0</xdr:rowOff>
    </xdr:from>
    <xdr:ext cx="1728000" cy="224224"/>
    <xdr:sp macro="" textlink="">
      <xdr:nvSpPr>
        <xdr:cNvPr id="32" name="TextBox 31">
          <a:hlinkClick xmlns:r="http://schemas.openxmlformats.org/officeDocument/2006/relationships" r:id="rId35"/>
          <a:extLst>
            <a:ext uri="{FF2B5EF4-FFF2-40B4-BE49-F238E27FC236}">
              <a16:creationId xmlns:a16="http://schemas.microsoft.com/office/drawing/2014/main" id="{3AA8E598-EE81-8846-BF9D-46E4CD2363E7}"/>
            </a:ext>
          </a:extLst>
        </xdr:cNvPr>
        <xdr:cNvSpPr txBox="1"/>
      </xdr:nvSpPr>
      <xdr:spPr>
        <a:xfrm>
          <a:off x="0" y="210947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EBQ </a:t>
          </a:r>
          <a:r>
            <a:rPr lang="en-GB" sz="1200" b="0">
              <a:solidFill>
                <a:schemeClr val="bg1"/>
              </a:solidFill>
              <a:latin typeface="+mj-lt"/>
            </a:rPr>
            <a:t>input</a:t>
          </a:r>
        </a:p>
      </xdr:txBody>
    </xdr:sp>
    <xdr:clientData/>
  </xdr:oneCellAnchor>
  <xdr:oneCellAnchor>
    <xdr:from>
      <xdr:col>0</xdr:col>
      <xdr:colOff>0</xdr:colOff>
      <xdr:row>276</xdr:row>
      <xdr:rowOff>0</xdr:rowOff>
    </xdr:from>
    <xdr:ext cx="1728000" cy="224224"/>
    <xdr:sp macro="" textlink="">
      <xdr:nvSpPr>
        <xdr:cNvPr id="33" name="TextBox 32">
          <a:hlinkClick xmlns:r="http://schemas.openxmlformats.org/officeDocument/2006/relationships" r:id="rId36"/>
          <a:extLst>
            <a:ext uri="{FF2B5EF4-FFF2-40B4-BE49-F238E27FC236}">
              <a16:creationId xmlns:a16="http://schemas.microsoft.com/office/drawing/2014/main" id="{00F5FA90-4C54-0549-AA6C-E6A532EEE4C4}"/>
            </a:ext>
          </a:extLst>
        </xdr:cNvPr>
        <xdr:cNvSpPr txBox="1"/>
      </xdr:nvSpPr>
      <xdr:spPr>
        <a:xfrm>
          <a:off x="0" y="170942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PERS </a:t>
          </a:r>
          <a:r>
            <a:rPr lang="en-GB" sz="1200" b="0">
              <a:solidFill>
                <a:schemeClr val="bg1"/>
              </a:solidFill>
              <a:latin typeface="+mj-lt"/>
            </a:rPr>
            <a:t>input</a:t>
          </a:r>
        </a:p>
      </xdr:txBody>
    </xdr:sp>
    <xdr:clientData/>
  </xdr:oneCellAnchor>
  <xdr:oneCellAnchor>
    <xdr:from>
      <xdr:col>0</xdr:col>
      <xdr:colOff>0</xdr:colOff>
      <xdr:row>261</xdr:row>
      <xdr:rowOff>0</xdr:rowOff>
    </xdr:from>
    <xdr:ext cx="1728000" cy="224224"/>
    <xdr:sp macro="" textlink="">
      <xdr:nvSpPr>
        <xdr:cNvPr id="36" name="TextBox 35">
          <a:hlinkClick xmlns:r="http://schemas.openxmlformats.org/officeDocument/2006/relationships" r:id="rId37"/>
          <a:extLst>
            <a:ext uri="{FF2B5EF4-FFF2-40B4-BE49-F238E27FC236}">
              <a16:creationId xmlns:a16="http://schemas.microsoft.com/office/drawing/2014/main" id="{A73921A6-326E-2243-9E19-50E4FC5FD4F3}"/>
            </a:ext>
          </a:extLst>
        </xdr:cNvPr>
        <xdr:cNvSpPr txBox="1"/>
      </xdr:nvSpPr>
      <xdr:spPr>
        <a:xfrm>
          <a:off x="0" y="130937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PERCI </a:t>
          </a:r>
          <a:r>
            <a:rPr lang="en-GB" sz="1200" b="0">
              <a:solidFill>
                <a:schemeClr val="bg1"/>
              </a:solidFill>
              <a:latin typeface="+mj-lt"/>
            </a:rPr>
            <a:t>input</a:t>
          </a:r>
        </a:p>
      </xdr:txBody>
    </xdr:sp>
    <xdr:clientData/>
  </xdr:oneCellAnchor>
  <xdr:oneCellAnchor>
    <xdr:from>
      <xdr:col>0</xdr:col>
      <xdr:colOff>0</xdr:colOff>
      <xdr:row>224</xdr:row>
      <xdr:rowOff>0</xdr:rowOff>
    </xdr:from>
    <xdr:ext cx="1728000" cy="224224"/>
    <xdr:sp macro="" textlink="">
      <xdr:nvSpPr>
        <xdr:cNvPr id="38" name="TextBox 37">
          <a:hlinkClick xmlns:r="http://schemas.openxmlformats.org/officeDocument/2006/relationships" r:id="rId38"/>
          <a:extLst>
            <a:ext uri="{FF2B5EF4-FFF2-40B4-BE49-F238E27FC236}">
              <a16:creationId xmlns:a16="http://schemas.microsoft.com/office/drawing/2014/main" id="{704BA38E-AD65-DD45-A4F2-109FDADDF39C}"/>
            </a:ext>
          </a:extLst>
        </xdr:cNvPr>
        <xdr:cNvSpPr txBox="1"/>
      </xdr:nvSpPr>
      <xdr:spPr>
        <a:xfrm>
          <a:off x="0" y="78232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PAQ </a:t>
          </a:r>
          <a:r>
            <a:rPr lang="en-GB" sz="1200" b="0">
              <a:solidFill>
                <a:schemeClr val="bg1"/>
              </a:solidFill>
              <a:latin typeface="+mj-lt"/>
            </a:rPr>
            <a:t>input</a:t>
          </a:r>
        </a:p>
      </xdr:txBody>
    </xdr:sp>
    <xdr:clientData/>
  </xdr:oneCellAnchor>
  <xdr:twoCellAnchor editAs="oneCell">
    <xdr:from>
      <xdr:col>6</xdr:col>
      <xdr:colOff>0</xdr:colOff>
      <xdr:row>344</xdr:row>
      <xdr:rowOff>0</xdr:rowOff>
    </xdr:from>
    <xdr:to>
      <xdr:col>15</xdr:col>
      <xdr:colOff>704117</xdr:colOff>
      <xdr:row>357</xdr:row>
      <xdr:rowOff>251200</xdr:rowOff>
    </xdr:to>
    <xdr:graphicFrame macro="">
      <xdr:nvGraphicFramePr>
        <xdr:cNvPr id="39" name="Chart 38">
          <a:extLst>
            <a:ext uri="{FF2B5EF4-FFF2-40B4-BE49-F238E27FC236}">
              <a16:creationId xmlns:a16="http://schemas.microsoft.com/office/drawing/2014/main" id="{24DCE772-A69D-DB4C-95BF-3B732B2E0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fLocksWithSheet="0"/>
  </xdr:twoCellAnchor>
  <xdr:oneCellAnchor>
    <xdr:from>
      <xdr:col>18</xdr:col>
      <xdr:colOff>0</xdr:colOff>
      <xdr:row>344</xdr:row>
      <xdr:rowOff>0</xdr:rowOff>
    </xdr:from>
    <xdr:ext cx="1545804" cy="255514"/>
    <xdr:sp macro="" textlink="">
      <xdr:nvSpPr>
        <xdr:cNvPr id="40" name="TextBox 39">
          <a:hlinkClick xmlns:r="http://schemas.openxmlformats.org/officeDocument/2006/relationships" r:id="rId25"/>
          <a:extLst>
            <a:ext uri="{FF2B5EF4-FFF2-40B4-BE49-F238E27FC236}">
              <a16:creationId xmlns:a16="http://schemas.microsoft.com/office/drawing/2014/main" id="{AF8E557E-FB20-E749-8268-08E58F74FA80}"/>
            </a:ext>
          </a:extLst>
        </xdr:cNvPr>
        <xdr:cNvSpPr txBox="1"/>
      </xdr:nvSpPr>
      <xdr:spPr>
        <a:xfrm>
          <a:off x="16586200" y="181102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0</xdr:col>
      <xdr:colOff>0</xdr:colOff>
      <xdr:row>355</xdr:row>
      <xdr:rowOff>0</xdr:rowOff>
    </xdr:from>
    <xdr:ext cx="1728000" cy="224224"/>
    <xdr:sp macro="" textlink="">
      <xdr:nvSpPr>
        <xdr:cNvPr id="41" name="TextBox 40">
          <a:hlinkClick xmlns:r="http://schemas.openxmlformats.org/officeDocument/2006/relationships" r:id="rId40"/>
          <a:extLst>
            <a:ext uri="{FF2B5EF4-FFF2-40B4-BE49-F238E27FC236}">
              <a16:creationId xmlns:a16="http://schemas.microsoft.com/office/drawing/2014/main" id="{76FD0CFC-5AB1-BD45-8663-224292FFAD98}"/>
            </a:ext>
          </a:extLst>
        </xdr:cNvPr>
        <xdr:cNvSpPr txBox="1"/>
      </xdr:nvSpPr>
      <xdr:spPr>
        <a:xfrm>
          <a:off x="0" y="210947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PES </a:t>
          </a:r>
          <a:r>
            <a:rPr lang="en-GB" sz="1200" b="0">
              <a:solidFill>
                <a:schemeClr val="bg1"/>
              </a:solidFill>
              <a:latin typeface="+mj-lt"/>
            </a:rPr>
            <a:t>input</a:t>
          </a:r>
        </a:p>
      </xdr:txBody>
    </xdr:sp>
    <xdr:clientData/>
  </xdr:oneCellAnchor>
  <xdr:oneCellAnchor>
    <xdr:from>
      <xdr:col>19</xdr:col>
      <xdr:colOff>0</xdr:colOff>
      <xdr:row>32</xdr:row>
      <xdr:rowOff>15645</xdr:rowOff>
    </xdr:from>
    <xdr:ext cx="1368000" cy="224224"/>
    <xdr:sp macro="" textlink="">
      <xdr:nvSpPr>
        <xdr:cNvPr id="50" name="TextBox 49">
          <a:hlinkClick xmlns:r="http://schemas.openxmlformats.org/officeDocument/2006/relationships" r:id="rId41"/>
          <a:extLst>
            <a:ext uri="{FF2B5EF4-FFF2-40B4-BE49-F238E27FC236}">
              <a16:creationId xmlns:a16="http://schemas.microsoft.com/office/drawing/2014/main" id="{5601257A-98F4-B542-B847-AEB2A4D00359}"/>
            </a:ext>
          </a:extLst>
        </xdr:cNvPr>
        <xdr:cNvSpPr txBox="1"/>
      </xdr:nvSpPr>
      <xdr:spPr>
        <a:xfrm>
          <a:off x="21805900" y="51083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PES </a:t>
          </a:r>
          <a:r>
            <a:rPr lang="en-GB" sz="1200" b="0">
              <a:solidFill>
                <a:schemeClr val="bg1"/>
              </a:solidFill>
              <a:latin typeface="+mj-lt"/>
            </a:rPr>
            <a:t>profile</a:t>
          </a:r>
        </a:p>
      </xdr:txBody>
    </xdr:sp>
    <xdr:clientData/>
  </xdr:oneCellAnchor>
  <xdr:oneCellAnchor>
    <xdr:from>
      <xdr:col>19</xdr:col>
      <xdr:colOff>0</xdr:colOff>
      <xdr:row>12</xdr:row>
      <xdr:rowOff>15645</xdr:rowOff>
    </xdr:from>
    <xdr:ext cx="1368000" cy="224224"/>
    <xdr:sp macro="" textlink="">
      <xdr:nvSpPr>
        <xdr:cNvPr id="51" name="TextBox 50">
          <a:hlinkClick xmlns:r="http://schemas.openxmlformats.org/officeDocument/2006/relationships" r:id="rId42"/>
          <a:extLst>
            <a:ext uri="{FF2B5EF4-FFF2-40B4-BE49-F238E27FC236}">
              <a16:creationId xmlns:a16="http://schemas.microsoft.com/office/drawing/2014/main" id="{693E98DA-4D2A-1C4C-BCF4-9B521632606A}"/>
            </a:ext>
          </a:extLst>
        </xdr:cNvPr>
        <xdr:cNvSpPr txBox="1"/>
      </xdr:nvSpPr>
      <xdr:spPr>
        <a:xfrm>
          <a:off x="21805900" y="61243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DASS </a:t>
          </a:r>
          <a:r>
            <a:rPr lang="en-GB" sz="1200" b="0">
              <a:solidFill>
                <a:schemeClr val="bg1"/>
              </a:solidFill>
              <a:latin typeface="+mj-lt"/>
            </a:rPr>
            <a:t>profile</a:t>
          </a:r>
        </a:p>
      </xdr:txBody>
    </xdr:sp>
    <xdr:clientData/>
  </xdr:oneCellAnchor>
  <xdr:twoCellAnchor editAs="oneCell">
    <xdr:from>
      <xdr:col>6</xdr:col>
      <xdr:colOff>0</xdr:colOff>
      <xdr:row>27</xdr:row>
      <xdr:rowOff>0</xdr:rowOff>
    </xdr:from>
    <xdr:to>
      <xdr:col>15</xdr:col>
      <xdr:colOff>704117</xdr:colOff>
      <xdr:row>40</xdr:row>
      <xdr:rowOff>251200</xdr:rowOff>
    </xdr:to>
    <xdr:graphicFrame macro="">
      <xdr:nvGraphicFramePr>
        <xdr:cNvPr id="52" name="Chart 51">
          <a:extLst>
            <a:ext uri="{FF2B5EF4-FFF2-40B4-BE49-F238E27FC236}">
              <a16:creationId xmlns:a16="http://schemas.microsoft.com/office/drawing/2014/main" id="{898F09A2-47EB-D34D-BC68-088F8A27F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fLocksWithSheet="0"/>
  </xdr:twoCellAnchor>
  <xdr:oneCellAnchor>
    <xdr:from>
      <xdr:col>18</xdr:col>
      <xdr:colOff>0</xdr:colOff>
      <xdr:row>60</xdr:row>
      <xdr:rowOff>0</xdr:rowOff>
    </xdr:from>
    <xdr:ext cx="1545804" cy="255514"/>
    <xdr:sp macro="" textlink="">
      <xdr:nvSpPr>
        <xdr:cNvPr id="53" name="TextBox 52">
          <a:hlinkClick xmlns:r="http://schemas.openxmlformats.org/officeDocument/2006/relationships" r:id="rId25"/>
          <a:extLst>
            <a:ext uri="{FF2B5EF4-FFF2-40B4-BE49-F238E27FC236}">
              <a16:creationId xmlns:a16="http://schemas.microsoft.com/office/drawing/2014/main" id="{D8C49ED3-9EF2-3E48-A5F1-DA60C917466D}"/>
            </a:ext>
          </a:extLst>
        </xdr:cNvPr>
        <xdr:cNvSpPr txBox="1"/>
      </xdr:nvSpPr>
      <xdr:spPr>
        <a:xfrm>
          <a:off x="16586200" y="39128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0</xdr:col>
      <xdr:colOff>0</xdr:colOff>
      <xdr:row>33</xdr:row>
      <xdr:rowOff>0</xdr:rowOff>
    </xdr:from>
    <xdr:ext cx="1728000" cy="224224"/>
    <xdr:sp macro="" textlink="">
      <xdr:nvSpPr>
        <xdr:cNvPr id="54" name="TextBox 53">
          <a:hlinkClick xmlns:r="http://schemas.openxmlformats.org/officeDocument/2006/relationships" r:id="rId44"/>
          <a:extLst>
            <a:ext uri="{FF2B5EF4-FFF2-40B4-BE49-F238E27FC236}">
              <a16:creationId xmlns:a16="http://schemas.microsoft.com/office/drawing/2014/main" id="{DED9E80C-8071-C043-B598-685EE1EDEF5D}"/>
            </a:ext>
          </a:extLst>
        </xdr:cNvPr>
        <xdr:cNvSpPr txBox="1"/>
      </xdr:nvSpPr>
      <xdr:spPr>
        <a:xfrm>
          <a:off x="0" y="408432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DASS </a:t>
          </a:r>
          <a:r>
            <a:rPr lang="en-GB" sz="1200" b="0">
              <a:solidFill>
                <a:schemeClr val="bg1"/>
              </a:solidFill>
              <a:latin typeface="+mj-lt"/>
            </a:rPr>
            <a:t>input</a:t>
          </a:r>
        </a:p>
      </xdr:txBody>
    </xdr:sp>
    <xdr:clientData/>
  </xdr:oneCellAnchor>
  <xdr:oneCellAnchor>
    <xdr:from>
      <xdr:col>19</xdr:col>
      <xdr:colOff>0</xdr:colOff>
      <xdr:row>40</xdr:row>
      <xdr:rowOff>0</xdr:rowOff>
    </xdr:from>
    <xdr:ext cx="1368000" cy="224224"/>
    <xdr:sp macro="" textlink="">
      <xdr:nvSpPr>
        <xdr:cNvPr id="61" name="TextBox 60">
          <a:hlinkClick xmlns:r="http://schemas.openxmlformats.org/officeDocument/2006/relationships" r:id="rId45"/>
          <a:extLst>
            <a:ext uri="{FF2B5EF4-FFF2-40B4-BE49-F238E27FC236}">
              <a16:creationId xmlns:a16="http://schemas.microsoft.com/office/drawing/2014/main" id="{05FB8755-1E0F-D64A-9180-4456287ADB74}"/>
            </a:ext>
          </a:extLst>
        </xdr:cNvPr>
        <xdr:cNvSpPr txBox="1"/>
      </xdr:nvSpPr>
      <xdr:spPr>
        <a:xfrm>
          <a:off x="21805900" y="83312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PID-5-BF </a:t>
          </a:r>
          <a:r>
            <a:rPr lang="en-GB" sz="1200" b="0">
              <a:solidFill>
                <a:schemeClr val="bg1"/>
              </a:solidFill>
              <a:latin typeface="+mj-lt"/>
            </a:rPr>
            <a:t>profile</a:t>
          </a:r>
        </a:p>
      </xdr:txBody>
    </xdr:sp>
    <xdr:clientData/>
  </xdr:oneCellAnchor>
  <xdr:oneCellAnchor>
    <xdr:from>
      <xdr:col>19</xdr:col>
      <xdr:colOff>0</xdr:colOff>
      <xdr:row>39</xdr:row>
      <xdr:rowOff>0</xdr:rowOff>
    </xdr:from>
    <xdr:ext cx="1368000" cy="224224"/>
    <xdr:sp macro="" textlink="">
      <xdr:nvSpPr>
        <xdr:cNvPr id="62" name="TextBox 61">
          <a:hlinkClick xmlns:r="http://schemas.openxmlformats.org/officeDocument/2006/relationships" r:id="rId46"/>
          <a:extLst>
            <a:ext uri="{FF2B5EF4-FFF2-40B4-BE49-F238E27FC236}">
              <a16:creationId xmlns:a16="http://schemas.microsoft.com/office/drawing/2014/main" id="{4441A4E0-638D-5D47-91EA-FF6C29B1A4DC}"/>
            </a:ext>
          </a:extLst>
        </xdr:cNvPr>
        <xdr:cNvSpPr txBox="1"/>
      </xdr:nvSpPr>
      <xdr:spPr>
        <a:xfrm>
          <a:off x="21805900" y="80772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PID-5 </a:t>
          </a:r>
          <a:r>
            <a:rPr lang="en-GB" sz="1200" b="0">
              <a:solidFill>
                <a:schemeClr val="bg1"/>
              </a:solidFill>
              <a:latin typeface="+mj-lt"/>
            </a:rPr>
            <a:t>profile</a:t>
          </a:r>
        </a:p>
      </xdr:txBody>
    </xdr:sp>
    <xdr:clientData/>
  </xdr:oneCellAnchor>
  <xdr:oneCellAnchor>
    <xdr:from>
      <xdr:col>19</xdr:col>
      <xdr:colOff>0</xdr:colOff>
      <xdr:row>36</xdr:row>
      <xdr:rowOff>15645</xdr:rowOff>
    </xdr:from>
    <xdr:ext cx="1368000" cy="224224"/>
    <xdr:sp macro="" textlink="">
      <xdr:nvSpPr>
        <xdr:cNvPr id="64" name="TextBox 63">
          <a:hlinkClick xmlns:r="http://schemas.openxmlformats.org/officeDocument/2006/relationships" r:id="rId47"/>
          <a:extLst>
            <a:ext uri="{FF2B5EF4-FFF2-40B4-BE49-F238E27FC236}">
              <a16:creationId xmlns:a16="http://schemas.microsoft.com/office/drawing/2014/main" id="{6684AA89-6ECC-0041-AE91-46072B0A8A41}"/>
            </a:ext>
          </a:extLst>
        </xdr:cNvPr>
        <xdr:cNvSpPr txBox="1"/>
      </xdr:nvSpPr>
      <xdr:spPr>
        <a:xfrm>
          <a:off x="21805900" y="63783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AQ-10 </a:t>
          </a:r>
          <a:r>
            <a:rPr lang="en-GB" sz="1200" b="0">
              <a:solidFill>
                <a:schemeClr val="bg1"/>
              </a:solidFill>
              <a:latin typeface="+mj-lt"/>
            </a:rPr>
            <a:t>profile</a:t>
          </a:r>
        </a:p>
      </xdr:txBody>
    </xdr:sp>
    <xdr:clientData/>
  </xdr:oneCellAnchor>
  <xdr:oneCellAnchor>
    <xdr:from>
      <xdr:col>19</xdr:col>
      <xdr:colOff>0</xdr:colOff>
      <xdr:row>37</xdr:row>
      <xdr:rowOff>15645</xdr:rowOff>
    </xdr:from>
    <xdr:ext cx="1368000" cy="224224"/>
    <xdr:sp macro="" textlink="">
      <xdr:nvSpPr>
        <xdr:cNvPr id="65" name="TextBox 64">
          <a:hlinkClick xmlns:r="http://schemas.openxmlformats.org/officeDocument/2006/relationships" r:id="rId48"/>
          <a:extLst>
            <a:ext uri="{FF2B5EF4-FFF2-40B4-BE49-F238E27FC236}">
              <a16:creationId xmlns:a16="http://schemas.microsoft.com/office/drawing/2014/main" id="{2360781D-EA17-D245-9B90-D04E753B6514}"/>
            </a:ext>
          </a:extLst>
        </xdr:cNvPr>
        <xdr:cNvSpPr txBox="1"/>
      </xdr:nvSpPr>
      <xdr:spPr>
        <a:xfrm>
          <a:off x="21805900" y="66323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CATI </a:t>
          </a:r>
          <a:r>
            <a:rPr lang="en-GB" sz="1200" b="0">
              <a:solidFill>
                <a:schemeClr val="bg1"/>
              </a:solidFill>
              <a:latin typeface="+mj-lt"/>
            </a:rPr>
            <a:t>profile</a:t>
          </a:r>
        </a:p>
      </xdr:txBody>
    </xdr:sp>
    <xdr:clientData/>
  </xdr:oneCellAnchor>
  <xdr:oneCellAnchor>
    <xdr:from>
      <xdr:col>19</xdr:col>
      <xdr:colOff>0</xdr:colOff>
      <xdr:row>35</xdr:row>
      <xdr:rowOff>0</xdr:rowOff>
    </xdr:from>
    <xdr:ext cx="1368000" cy="224224"/>
    <xdr:sp macro="" textlink="">
      <xdr:nvSpPr>
        <xdr:cNvPr id="67" name="TextBox 66">
          <a:hlinkClick xmlns:r="http://schemas.openxmlformats.org/officeDocument/2006/relationships" r:id="rId49"/>
          <a:extLst>
            <a:ext uri="{FF2B5EF4-FFF2-40B4-BE49-F238E27FC236}">
              <a16:creationId xmlns:a16="http://schemas.microsoft.com/office/drawing/2014/main" id="{E6CC9C44-89D3-9245-A7B4-F5CDAFB74058}"/>
            </a:ext>
          </a:extLst>
        </xdr:cNvPr>
        <xdr:cNvSpPr txBox="1"/>
      </xdr:nvSpPr>
      <xdr:spPr>
        <a:xfrm>
          <a:off x="21805900" y="83312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AQ </a:t>
          </a:r>
          <a:r>
            <a:rPr lang="en-GB" sz="1200" b="0">
              <a:solidFill>
                <a:schemeClr val="bg1"/>
              </a:solidFill>
              <a:latin typeface="+mj-lt"/>
            </a:rPr>
            <a:t>profile</a:t>
          </a:r>
        </a:p>
      </xdr:txBody>
    </xdr:sp>
    <xdr:clientData/>
  </xdr:oneCellAnchor>
  <xdr:oneCellAnchor>
    <xdr:from>
      <xdr:col>19</xdr:col>
      <xdr:colOff>0</xdr:colOff>
      <xdr:row>34</xdr:row>
      <xdr:rowOff>0</xdr:rowOff>
    </xdr:from>
    <xdr:ext cx="1368000" cy="224224"/>
    <xdr:sp macro="" textlink="">
      <xdr:nvSpPr>
        <xdr:cNvPr id="68" name="TextBox 67">
          <a:hlinkClick xmlns:r="http://schemas.openxmlformats.org/officeDocument/2006/relationships" r:id="rId50"/>
          <a:extLst>
            <a:ext uri="{FF2B5EF4-FFF2-40B4-BE49-F238E27FC236}">
              <a16:creationId xmlns:a16="http://schemas.microsoft.com/office/drawing/2014/main" id="{9C97B11C-B9EF-A84E-A5C3-EEAB265E7D19}"/>
            </a:ext>
          </a:extLst>
        </xdr:cNvPr>
        <xdr:cNvSpPr txBox="1"/>
      </xdr:nvSpPr>
      <xdr:spPr>
        <a:xfrm>
          <a:off x="21805900" y="80772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ASRS </a:t>
          </a:r>
          <a:r>
            <a:rPr lang="en-GB" sz="1200" b="0">
              <a:solidFill>
                <a:schemeClr val="bg1"/>
              </a:solidFill>
              <a:latin typeface="+mj-lt"/>
            </a:rPr>
            <a:t>profile</a:t>
          </a:r>
        </a:p>
      </xdr:txBody>
    </xdr:sp>
    <xdr:clientData/>
  </xdr:oneCellAnchor>
  <xdr:oneCellAnchor>
    <xdr:from>
      <xdr:col>18</xdr:col>
      <xdr:colOff>0</xdr:colOff>
      <xdr:row>378</xdr:row>
      <xdr:rowOff>0</xdr:rowOff>
    </xdr:from>
    <xdr:ext cx="1545804" cy="255514"/>
    <xdr:sp macro="" textlink="">
      <xdr:nvSpPr>
        <xdr:cNvPr id="70" name="TextBox 69">
          <a:hlinkClick xmlns:r="http://schemas.openxmlformats.org/officeDocument/2006/relationships" r:id="rId25"/>
          <a:extLst>
            <a:ext uri="{FF2B5EF4-FFF2-40B4-BE49-F238E27FC236}">
              <a16:creationId xmlns:a16="http://schemas.microsoft.com/office/drawing/2014/main" id="{F20FBAA7-F796-9F49-8D20-6ED273616365}"/>
            </a:ext>
          </a:extLst>
        </xdr:cNvPr>
        <xdr:cNvSpPr txBox="1"/>
      </xdr:nvSpPr>
      <xdr:spPr>
        <a:xfrm>
          <a:off x="16586200" y="266192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0</xdr:col>
      <xdr:colOff>0</xdr:colOff>
      <xdr:row>388</xdr:row>
      <xdr:rowOff>0</xdr:rowOff>
    </xdr:from>
    <xdr:ext cx="1728000" cy="224224"/>
    <xdr:sp macro="" textlink="">
      <xdr:nvSpPr>
        <xdr:cNvPr id="71" name="TextBox 70">
          <a:hlinkClick xmlns:r="http://schemas.openxmlformats.org/officeDocument/2006/relationships" r:id="rId51"/>
          <a:extLst>
            <a:ext uri="{FF2B5EF4-FFF2-40B4-BE49-F238E27FC236}">
              <a16:creationId xmlns:a16="http://schemas.microsoft.com/office/drawing/2014/main" id="{AF38D35F-7DD0-444A-B207-4ADBD2E7ECF3}"/>
            </a:ext>
          </a:extLst>
        </xdr:cNvPr>
        <xdr:cNvSpPr txBox="1"/>
      </xdr:nvSpPr>
      <xdr:spPr>
        <a:xfrm>
          <a:off x="0" y="296037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AQ </a:t>
          </a:r>
          <a:r>
            <a:rPr lang="en-GB" sz="1200" b="0">
              <a:solidFill>
                <a:schemeClr val="bg1"/>
              </a:solidFill>
              <a:latin typeface="+mj-lt"/>
            </a:rPr>
            <a:t>input</a:t>
          </a:r>
        </a:p>
      </xdr:txBody>
    </xdr:sp>
    <xdr:clientData/>
  </xdr:oneCellAnchor>
  <xdr:twoCellAnchor editAs="oneCell">
    <xdr:from>
      <xdr:col>6</xdr:col>
      <xdr:colOff>0</xdr:colOff>
      <xdr:row>378</xdr:row>
      <xdr:rowOff>0</xdr:rowOff>
    </xdr:from>
    <xdr:to>
      <xdr:col>15</xdr:col>
      <xdr:colOff>704117</xdr:colOff>
      <xdr:row>391</xdr:row>
      <xdr:rowOff>251200</xdr:rowOff>
    </xdr:to>
    <xdr:graphicFrame macro="">
      <xdr:nvGraphicFramePr>
        <xdr:cNvPr id="87" name="Chart 86">
          <a:extLst>
            <a:ext uri="{FF2B5EF4-FFF2-40B4-BE49-F238E27FC236}">
              <a16:creationId xmlns:a16="http://schemas.microsoft.com/office/drawing/2014/main" id="{B7FDC946-EC5A-C046-8616-3C6087763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fLocksWithSheet="0"/>
  </xdr:twoCellAnchor>
  <xdr:twoCellAnchor editAs="oneCell">
    <xdr:from>
      <xdr:col>6</xdr:col>
      <xdr:colOff>0</xdr:colOff>
      <xdr:row>395</xdr:row>
      <xdr:rowOff>0</xdr:rowOff>
    </xdr:from>
    <xdr:to>
      <xdr:col>15</xdr:col>
      <xdr:colOff>704117</xdr:colOff>
      <xdr:row>408</xdr:row>
      <xdr:rowOff>251200</xdr:rowOff>
    </xdr:to>
    <xdr:graphicFrame macro="">
      <xdr:nvGraphicFramePr>
        <xdr:cNvPr id="88" name="Chart 87">
          <a:extLst>
            <a:ext uri="{FF2B5EF4-FFF2-40B4-BE49-F238E27FC236}">
              <a16:creationId xmlns:a16="http://schemas.microsoft.com/office/drawing/2014/main" id="{52DCAF24-35D3-064E-A1F8-E746E57B6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fLocksWithSheet="0"/>
  </xdr:twoCellAnchor>
  <xdr:oneCellAnchor>
    <xdr:from>
      <xdr:col>18</xdr:col>
      <xdr:colOff>0</xdr:colOff>
      <xdr:row>395</xdr:row>
      <xdr:rowOff>0</xdr:rowOff>
    </xdr:from>
    <xdr:ext cx="1545804" cy="255514"/>
    <xdr:sp macro="" textlink="">
      <xdr:nvSpPr>
        <xdr:cNvPr id="89" name="TextBox 88">
          <a:hlinkClick xmlns:r="http://schemas.openxmlformats.org/officeDocument/2006/relationships" r:id="rId25"/>
          <a:extLst>
            <a:ext uri="{FF2B5EF4-FFF2-40B4-BE49-F238E27FC236}">
              <a16:creationId xmlns:a16="http://schemas.microsoft.com/office/drawing/2014/main" id="{4B565E6C-2F14-BD48-B355-4F1B48BD20A2}"/>
            </a:ext>
          </a:extLst>
        </xdr:cNvPr>
        <xdr:cNvSpPr txBox="1"/>
      </xdr:nvSpPr>
      <xdr:spPr>
        <a:xfrm>
          <a:off x="16586200" y="581152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0</xdr:col>
      <xdr:colOff>0</xdr:colOff>
      <xdr:row>399</xdr:row>
      <xdr:rowOff>0</xdr:rowOff>
    </xdr:from>
    <xdr:ext cx="1728000" cy="224224"/>
    <xdr:sp macro="" textlink="">
      <xdr:nvSpPr>
        <xdr:cNvPr id="98" name="TextBox 97">
          <a:hlinkClick xmlns:r="http://schemas.openxmlformats.org/officeDocument/2006/relationships" r:id="rId54"/>
          <a:extLst>
            <a:ext uri="{FF2B5EF4-FFF2-40B4-BE49-F238E27FC236}">
              <a16:creationId xmlns:a16="http://schemas.microsoft.com/office/drawing/2014/main" id="{4D815290-9003-7E43-849F-3AC0473CAFAE}"/>
            </a:ext>
          </a:extLst>
        </xdr:cNvPr>
        <xdr:cNvSpPr txBox="1"/>
      </xdr:nvSpPr>
      <xdr:spPr>
        <a:xfrm>
          <a:off x="0" y="593217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AQ-10 </a:t>
          </a:r>
          <a:r>
            <a:rPr lang="en-GB" sz="1200" b="0">
              <a:solidFill>
                <a:schemeClr val="bg1"/>
              </a:solidFill>
              <a:latin typeface="+mj-lt"/>
            </a:rPr>
            <a:t>input</a:t>
          </a:r>
        </a:p>
      </xdr:txBody>
    </xdr:sp>
    <xdr:clientData/>
  </xdr:oneCellAnchor>
  <xdr:twoCellAnchor editAs="oneCell">
    <xdr:from>
      <xdr:col>6</xdr:col>
      <xdr:colOff>0</xdr:colOff>
      <xdr:row>362</xdr:row>
      <xdr:rowOff>0</xdr:rowOff>
    </xdr:from>
    <xdr:to>
      <xdr:col>15</xdr:col>
      <xdr:colOff>704117</xdr:colOff>
      <xdr:row>375</xdr:row>
      <xdr:rowOff>251200</xdr:rowOff>
    </xdr:to>
    <xdr:graphicFrame macro="">
      <xdr:nvGraphicFramePr>
        <xdr:cNvPr id="99" name="Chart 98">
          <a:extLst>
            <a:ext uri="{FF2B5EF4-FFF2-40B4-BE49-F238E27FC236}">
              <a16:creationId xmlns:a16="http://schemas.microsoft.com/office/drawing/2014/main" id="{4800AC6E-FE11-F047-9D02-56E8611F8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fLocksWithSheet="0"/>
  </xdr:twoCellAnchor>
  <xdr:oneCellAnchor>
    <xdr:from>
      <xdr:col>18</xdr:col>
      <xdr:colOff>0</xdr:colOff>
      <xdr:row>362</xdr:row>
      <xdr:rowOff>0</xdr:rowOff>
    </xdr:from>
    <xdr:ext cx="1545804" cy="255514"/>
    <xdr:sp macro="" textlink="">
      <xdr:nvSpPr>
        <xdr:cNvPr id="100" name="TextBox 99">
          <a:hlinkClick xmlns:r="http://schemas.openxmlformats.org/officeDocument/2006/relationships" r:id="rId25"/>
          <a:extLst>
            <a:ext uri="{FF2B5EF4-FFF2-40B4-BE49-F238E27FC236}">
              <a16:creationId xmlns:a16="http://schemas.microsoft.com/office/drawing/2014/main" id="{F91EB97A-5BAF-114C-AE01-ED039C3F46C3}"/>
            </a:ext>
          </a:extLst>
        </xdr:cNvPr>
        <xdr:cNvSpPr txBox="1"/>
      </xdr:nvSpPr>
      <xdr:spPr>
        <a:xfrm>
          <a:off x="16586200" y="74688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0</xdr:col>
      <xdr:colOff>0</xdr:colOff>
      <xdr:row>366</xdr:row>
      <xdr:rowOff>0</xdr:rowOff>
    </xdr:from>
    <xdr:ext cx="1728000" cy="224224"/>
    <xdr:sp macro="" textlink="">
      <xdr:nvSpPr>
        <xdr:cNvPr id="101" name="TextBox 100">
          <a:hlinkClick xmlns:r="http://schemas.openxmlformats.org/officeDocument/2006/relationships" r:id="rId56"/>
          <a:extLst>
            <a:ext uri="{FF2B5EF4-FFF2-40B4-BE49-F238E27FC236}">
              <a16:creationId xmlns:a16="http://schemas.microsoft.com/office/drawing/2014/main" id="{95C6B0F9-FCEC-8748-A0E8-EF50B5E4771E}"/>
            </a:ext>
          </a:extLst>
        </xdr:cNvPr>
        <xdr:cNvSpPr txBox="1"/>
      </xdr:nvSpPr>
      <xdr:spPr>
        <a:xfrm>
          <a:off x="0" y="758952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ASRS </a:t>
          </a:r>
          <a:r>
            <a:rPr lang="en-GB" sz="1200" b="0">
              <a:solidFill>
                <a:schemeClr val="bg1"/>
              </a:solidFill>
              <a:latin typeface="+mj-lt"/>
            </a:rPr>
            <a:t>input</a:t>
          </a:r>
        </a:p>
      </xdr:txBody>
    </xdr:sp>
    <xdr:clientData/>
  </xdr:oneCellAnchor>
  <xdr:oneCellAnchor>
    <xdr:from>
      <xdr:col>18</xdr:col>
      <xdr:colOff>0</xdr:colOff>
      <xdr:row>411</xdr:row>
      <xdr:rowOff>0</xdr:rowOff>
    </xdr:from>
    <xdr:ext cx="1545804" cy="255514"/>
    <xdr:sp macro="" textlink="">
      <xdr:nvSpPr>
        <xdr:cNvPr id="2" name="TextBox 1">
          <a:hlinkClick xmlns:r="http://schemas.openxmlformats.org/officeDocument/2006/relationships" r:id="rId25"/>
          <a:extLst>
            <a:ext uri="{FF2B5EF4-FFF2-40B4-BE49-F238E27FC236}">
              <a16:creationId xmlns:a16="http://schemas.microsoft.com/office/drawing/2014/main" id="{539F5DBC-6D9B-4D40-B9A9-D285BC425222}"/>
            </a:ext>
          </a:extLst>
        </xdr:cNvPr>
        <xdr:cNvSpPr txBox="1"/>
      </xdr:nvSpPr>
      <xdr:spPr>
        <a:xfrm>
          <a:off x="16586200" y="67322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0</xdr:col>
      <xdr:colOff>0</xdr:colOff>
      <xdr:row>422</xdr:row>
      <xdr:rowOff>0</xdr:rowOff>
    </xdr:from>
    <xdr:ext cx="1728000" cy="224224"/>
    <xdr:sp macro="" textlink="">
      <xdr:nvSpPr>
        <xdr:cNvPr id="4" name="TextBox 3">
          <a:hlinkClick xmlns:r="http://schemas.openxmlformats.org/officeDocument/2006/relationships" r:id="rId57"/>
          <a:extLst>
            <a:ext uri="{FF2B5EF4-FFF2-40B4-BE49-F238E27FC236}">
              <a16:creationId xmlns:a16="http://schemas.microsoft.com/office/drawing/2014/main" id="{E90B1589-83D3-AB44-94BC-A2DCEBDDD0D8}"/>
            </a:ext>
          </a:extLst>
        </xdr:cNvPr>
        <xdr:cNvSpPr txBox="1"/>
      </xdr:nvSpPr>
      <xdr:spPr>
        <a:xfrm>
          <a:off x="0" y="700532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CATI </a:t>
          </a:r>
          <a:r>
            <a:rPr lang="en-GB" sz="1200" b="0">
              <a:solidFill>
                <a:schemeClr val="bg1"/>
              </a:solidFill>
              <a:latin typeface="+mj-lt"/>
            </a:rPr>
            <a:t>input</a:t>
          </a:r>
        </a:p>
      </xdr:txBody>
    </xdr:sp>
    <xdr:clientData/>
  </xdr:oneCellAnchor>
  <xdr:twoCellAnchor editAs="oneCell">
    <xdr:from>
      <xdr:col>6</xdr:col>
      <xdr:colOff>0</xdr:colOff>
      <xdr:row>411</xdr:row>
      <xdr:rowOff>0</xdr:rowOff>
    </xdr:from>
    <xdr:to>
      <xdr:col>15</xdr:col>
      <xdr:colOff>704117</xdr:colOff>
      <xdr:row>424</xdr:row>
      <xdr:rowOff>251200</xdr:rowOff>
    </xdr:to>
    <xdr:graphicFrame macro="">
      <xdr:nvGraphicFramePr>
        <xdr:cNvPr id="13" name="Chart 12">
          <a:extLst>
            <a:ext uri="{FF2B5EF4-FFF2-40B4-BE49-F238E27FC236}">
              <a16:creationId xmlns:a16="http://schemas.microsoft.com/office/drawing/2014/main" id="{D612349D-0720-9341-8BE4-8E4656C33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fLocksWithSheet="0"/>
  </xdr:twoCellAnchor>
  <xdr:twoCellAnchor editAs="oneCell">
    <xdr:from>
      <xdr:col>6</xdr:col>
      <xdr:colOff>8225</xdr:colOff>
      <xdr:row>227</xdr:row>
      <xdr:rowOff>4627</xdr:rowOff>
    </xdr:from>
    <xdr:to>
      <xdr:col>15</xdr:col>
      <xdr:colOff>712342</xdr:colOff>
      <xdr:row>241</xdr:row>
      <xdr:rowOff>0</xdr:rowOff>
    </xdr:to>
    <xdr:graphicFrame macro="">
      <xdr:nvGraphicFramePr>
        <xdr:cNvPr id="7" name="Chart 6">
          <a:extLst>
            <a:ext uri="{FF2B5EF4-FFF2-40B4-BE49-F238E27FC236}">
              <a16:creationId xmlns:a16="http://schemas.microsoft.com/office/drawing/2014/main" id="{794EBA00-FEDE-7449-942D-046D0DAB7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fLocksWithSheet="0"/>
  </xdr:twoCellAnchor>
  <xdr:oneCellAnchor>
    <xdr:from>
      <xdr:col>18</xdr:col>
      <xdr:colOff>0</xdr:colOff>
      <xdr:row>227</xdr:row>
      <xdr:rowOff>0</xdr:rowOff>
    </xdr:from>
    <xdr:ext cx="1545804" cy="255514"/>
    <xdr:sp macro="" textlink="">
      <xdr:nvSpPr>
        <xdr:cNvPr id="108" name="TextBox 107">
          <a:hlinkClick xmlns:r="http://schemas.openxmlformats.org/officeDocument/2006/relationships" r:id="rId25"/>
          <a:extLst>
            <a:ext uri="{FF2B5EF4-FFF2-40B4-BE49-F238E27FC236}">
              <a16:creationId xmlns:a16="http://schemas.microsoft.com/office/drawing/2014/main" id="{0E4CCD35-E26F-8F41-A84D-77F982E38168}"/>
            </a:ext>
          </a:extLst>
        </xdr:cNvPr>
        <xdr:cNvSpPr txBox="1"/>
      </xdr:nvSpPr>
      <xdr:spPr>
        <a:xfrm>
          <a:off x="16586200" y="35318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0</xdr:col>
      <xdr:colOff>0</xdr:colOff>
      <xdr:row>231</xdr:row>
      <xdr:rowOff>0</xdr:rowOff>
    </xdr:from>
    <xdr:ext cx="1728000" cy="224224"/>
    <xdr:sp macro="" textlink="">
      <xdr:nvSpPr>
        <xdr:cNvPr id="109" name="TextBox 108">
          <a:hlinkClick xmlns:r="http://schemas.openxmlformats.org/officeDocument/2006/relationships" r:id="rId60"/>
          <a:extLst>
            <a:ext uri="{FF2B5EF4-FFF2-40B4-BE49-F238E27FC236}">
              <a16:creationId xmlns:a16="http://schemas.microsoft.com/office/drawing/2014/main" id="{8E540AE1-A30E-CD49-B44D-FFE24A2FCB50}"/>
            </a:ext>
          </a:extLst>
        </xdr:cNvPr>
        <xdr:cNvSpPr txBox="1"/>
      </xdr:nvSpPr>
      <xdr:spPr>
        <a:xfrm>
          <a:off x="0" y="393192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PAQ-S </a:t>
          </a:r>
          <a:r>
            <a:rPr lang="en-GB" sz="1200" b="0">
              <a:solidFill>
                <a:schemeClr val="bg1"/>
              </a:solidFill>
              <a:latin typeface="+mj-lt"/>
            </a:rPr>
            <a:t>input</a:t>
          </a:r>
        </a:p>
      </xdr:txBody>
    </xdr:sp>
    <xdr:clientData/>
  </xdr:oneCellAnchor>
  <xdr:oneCellAnchor>
    <xdr:from>
      <xdr:col>19</xdr:col>
      <xdr:colOff>0</xdr:colOff>
      <xdr:row>25</xdr:row>
      <xdr:rowOff>7822</xdr:rowOff>
    </xdr:from>
    <xdr:ext cx="1368000" cy="224224"/>
    <xdr:sp macro="" textlink="">
      <xdr:nvSpPr>
        <xdr:cNvPr id="111" name="TextBox 110">
          <a:hlinkClick xmlns:r="http://schemas.openxmlformats.org/officeDocument/2006/relationships" r:id="rId61"/>
          <a:extLst>
            <a:ext uri="{FF2B5EF4-FFF2-40B4-BE49-F238E27FC236}">
              <a16:creationId xmlns:a16="http://schemas.microsoft.com/office/drawing/2014/main" id="{83920A41-6712-2945-A56E-58A9D5CD0B16}"/>
            </a:ext>
          </a:extLst>
        </xdr:cNvPr>
        <xdr:cNvSpPr txBox="1"/>
      </xdr:nvSpPr>
      <xdr:spPr>
        <a:xfrm>
          <a:off x="21805900" y="6053022"/>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PAQ-S </a:t>
          </a:r>
          <a:r>
            <a:rPr lang="en-GB" sz="1200" b="0">
              <a:solidFill>
                <a:schemeClr val="bg1"/>
              </a:solidFill>
              <a:latin typeface="+mj-lt"/>
            </a:rPr>
            <a:t>profile</a:t>
          </a:r>
        </a:p>
      </xdr:txBody>
    </xdr:sp>
    <xdr:clientData/>
  </xdr:oneCellAnchor>
  <xdr:oneCellAnchor>
    <xdr:from>
      <xdr:col>18</xdr:col>
      <xdr:colOff>0</xdr:colOff>
      <xdr:row>159</xdr:row>
      <xdr:rowOff>0</xdr:rowOff>
    </xdr:from>
    <xdr:ext cx="1545804" cy="255514"/>
    <xdr:sp macro="" textlink="">
      <xdr:nvSpPr>
        <xdr:cNvPr id="124" name="TextBox 123">
          <a:hlinkClick xmlns:r="http://schemas.openxmlformats.org/officeDocument/2006/relationships" r:id="rId25"/>
          <a:extLst>
            <a:ext uri="{FF2B5EF4-FFF2-40B4-BE49-F238E27FC236}">
              <a16:creationId xmlns:a16="http://schemas.microsoft.com/office/drawing/2014/main" id="{92303260-8C90-3448-85EE-56300158A317}"/>
            </a:ext>
          </a:extLst>
        </xdr:cNvPr>
        <xdr:cNvSpPr txBox="1"/>
      </xdr:nvSpPr>
      <xdr:spPr>
        <a:xfrm>
          <a:off x="16586200" y="99707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0</xdr:col>
      <xdr:colOff>0</xdr:colOff>
      <xdr:row>168</xdr:row>
      <xdr:rowOff>0</xdr:rowOff>
    </xdr:from>
    <xdr:ext cx="1728000" cy="224224"/>
    <xdr:sp macro="" textlink="">
      <xdr:nvSpPr>
        <xdr:cNvPr id="126" name="TextBox 125">
          <a:hlinkClick xmlns:r="http://schemas.openxmlformats.org/officeDocument/2006/relationships" r:id="rId62"/>
          <a:extLst>
            <a:ext uri="{FF2B5EF4-FFF2-40B4-BE49-F238E27FC236}">
              <a16:creationId xmlns:a16="http://schemas.microsoft.com/office/drawing/2014/main" id="{D09230A5-6983-F549-8DD6-C8BF64FC123B}"/>
            </a:ext>
          </a:extLst>
        </xdr:cNvPr>
        <xdr:cNvSpPr txBox="1"/>
      </xdr:nvSpPr>
      <xdr:spPr>
        <a:xfrm>
          <a:off x="0" y="1019302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EDE-Q </a:t>
          </a:r>
          <a:r>
            <a:rPr lang="en-GB" sz="1200" b="0">
              <a:solidFill>
                <a:schemeClr val="bg1"/>
              </a:solidFill>
              <a:latin typeface="+mj-lt"/>
            </a:rPr>
            <a:t>input</a:t>
          </a:r>
        </a:p>
      </xdr:txBody>
    </xdr:sp>
    <xdr:clientData/>
  </xdr:oneCellAnchor>
  <xdr:oneCellAnchor>
    <xdr:from>
      <xdr:col>18</xdr:col>
      <xdr:colOff>0</xdr:colOff>
      <xdr:row>175</xdr:row>
      <xdr:rowOff>0</xdr:rowOff>
    </xdr:from>
    <xdr:ext cx="1545804" cy="255514"/>
    <xdr:sp macro="" textlink="">
      <xdr:nvSpPr>
        <xdr:cNvPr id="128" name="TextBox 127">
          <a:hlinkClick xmlns:r="http://schemas.openxmlformats.org/officeDocument/2006/relationships" r:id="rId25"/>
          <a:extLst>
            <a:ext uri="{FF2B5EF4-FFF2-40B4-BE49-F238E27FC236}">
              <a16:creationId xmlns:a16="http://schemas.microsoft.com/office/drawing/2014/main" id="{712907D5-1420-3C44-8A5C-CDFA4874AD5F}"/>
            </a:ext>
          </a:extLst>
        </xdr:cNvPr>
        <xdr:cNvSpPr txBox="1"/>
      </xdr:nvSpPr>
      <xdr:spPr>
        <a:xfrm>
          <a:off x="16586200" y="30365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0</xdr:col>
      <xdr:colOff>0</xdr:colOff>
      <xdr:row>179</xdr:row>
      <xdr:rowOff>0</xdr:rowOff>
    </xdr:from>
    <xdr:ext cx="1728000" cy="224224"/>
    <xdr:sp macro="" textlink="">
      <xdr:nvSpPr>
        <xdr:cNvPr id="129" name="TextBox 128">
          <a:hlinkClick xmlns:r="http://schemas.openxmlformats.org/officeDocument/2006/relationships" r:id="rId63"/>
          <a:extLst>
            <a:ext uri="{FF2B5EF4-FFF2-40B4-BE49-F238E27FC236}">
              <a16:creationId xmlns:a16="http://schemas.microsoft.com/office/drawing/2014/main" id="{BD5D6F27-CA94-3C4D-8CD9-5965D62D935C}"/>
            </a:ext>
          </a:extLst>
        </xdr:cNvPr>
        <xdr:cNvSpPr txBox="1"/>
      </xdr:nvSpPr>
      <xdr:spPr>
        <a:xfrm>
          <a:off x="0" y="325882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EDE-QS </a:t>
          </a:r>
          <a:r>
            <a:rPr lang="en-GB" sz="1200" b="0">
              <a:solidFill>
                <a:schemeClr val="bg1"/>
              </a:solidFill>
              <a:latin typeface="+mj-lt"/>
            </a:rPr>
            <a:t>input</a:t>
          </a:r>
        </a:p>
      </xdr:txBody>
    </xdr:sp>
    <xdr:clientData/>
  </xdr:oneCellAnchor>
  <xdr:twoCellAnchor editAs="oneCell">
    <xdr:from>
      <xdr:col>6</xdr:col>
      <xdr:colOff>0</xdr:colOff>
      <xdr:row>143</xdr:row>
      <xdr:rowOff>0</xdr:rowOff>
    </xdr:from>
    <xdr:to>
      <xdr:col>15</xdr:col>
      <xdr:colOff>704117</xdr:colOff>
      <xdr:row>156</xdr:row>
      <xdr:rowOff>251200</xdr:rowOff>
    </xdr:to>
    <xdr:graphicFrame macro="">
      <xdr:nvGraphicFramePr>
        <xdr:cNvPr id="130" name="Chart 129">
          <a:extLst>
            <a:ext uri="{FF2B5EF4-FFF2-40B4-BE49-F238E27FC236}">
              <a16:creationId xmlns:a16="http://schemas.microsoft.com/office/drawing/2014/main" id="{471C84B2-FB6B-3E45-98E2-246694289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4"/>
        </a:graphicData>
      </a:graphic>
    </xdr:graphicFrame>
    <xdr:clientData fLocksWithSheet="0"/>
  </xdr:twoCellAnchor>
  <xdr:oneCellAnchor>
    <xdr:from>
      <xdr:col>18</xdr:col>
      <xdr:colOff>0</xdr:colOff>
      <xdr:row>143</xdr:row>
      <xdr:rowOff>0</xdr:rowOff>
    </xdr:from>
    <xdr:ext cx="1545804" cy="255514"/>
    <xdr:sp macro="" textlink="">
      <xdr:nvSpPr>
        <xdr:cNvPr id="131" name="TextBox 130">
          <a:hlinkClick xmlns:r="http://schemas.openxmlformats.org/officeDocument/2006/relationships" r:id="rId25"/>
          <a:extLst>
            <a:ext uri="{FF2B5EF4-FFF2-40B4-BE49-F238E27FC236}">
              <a16:creationId xmlns:a16="http://schemas.microsoft.com/office/drawing/2014/main" id="{376B27CD-91A4-B64D-B852-E2A2C44165F1}"/>
            </a:ext>
          </a:extLst>
        </xdr:cNvPr>
        <xdr:cNvSpPr txBox="1"/>
      </xdr:nvSpPr>
      <xdr:spPr>
        <a:xfrm>
          <a:off x="16586200" y="88912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0</xdr:col>
      <xdr:colOff>0</xdr:colOff>
      <xdr:row>147</xdr:row>
      <xdr:rowOff>0</xdr:rowOff>
    </xdr:from>
    <xdr:ext cx="1728000" cy="224224"/>
    <xdr:sp macro="" textlink="">
      <xdr:nvSpPr>
        <xdr:cNvPr id="132" name="TextBox 131">
          <a:hlinkClick xmlns:r="http://schemas.openxmlformats.org/officeDocument/2006/relationships" r:id="rId65"/>
          <a:extLst>
            <a:ext uri="{FF2B5EF4-FFF2-40B4-BE49-F238E27FC236}">
              <a16:creationId xmlns:a16="http://schemas.microsoft.com/office/drawing/2014/main" id="{0C5AED8D-88C0-0548-800D-5CA0C640A206}"/>
            </a:ext>
          </a:extLst>
        </xdr:cNvPr>
        <xdr:cNvSpPr txBox="1"/>
      </xdr:nvSpPr>
      <xdr:spPr>
        <a:xfrm>
          <a:off x="0" y="901192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PCL-5 </a:t>
          </a:r>
          <a:r>
            <a:rPr lang="en-GB" sz="1200" b="0">
              <a:solidFill>
                <a:schemeClr val="bg1"/>
              </a:solidFill>
              <a:latin typeface="+mj-lt"/>
            </a:rPr>
            <a:t>input</a:t>
          </a:r>
        </a:p>
      </xdr:txBody>
    </xdr:sp>
    <xdr:clientData/>
  </xdr:oneCellAnchor>
  <xdr:oneCellAnchor>
    <xdr:from>
      <xdr:col>19</xdr:col>
      <xdr:colOff>0</xdr:colOff>
      <xdr:row>19</xdr:row>
      <xdr:rowOff>15645</xdr:rowOff>
    </xdr:from>
    <xdr:ext cx="1368000" cy="224224"/>
    <xdr:sp macro="" textlink="">
      <xdr:nvSpPr>
        <xdr:cNvPr id="133" name="TextBox 132">
          <a:hlinkClick xmlns:r="http://schemas.openxmlformats.org/officeDocument/2006/relationships" r:id="rId66"/>
          <a:extLst>
            <a:ext uri="{FF2B5EF4-FFF2-40B4-BE49-F238E27FC236}">
              <a16:creationId xmlns:a16="http://schemas.microsoft.com/office/drawing/2014/main" id="{F7A30C2F-860B-6340-9B62-02A8DCA45093}"/>
            </a:ext>
          </a:extLst>
        </xdr:cNvPr>
        <xdr:cNvSpPr txBox="1"/>
      </xdr:nvSpPr>
      <xdr:spPr>
        <a:xfrm>
          <a:off x="21805900" y="43463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PCL-5 </a:t>
          </a:r>
          <a:r>
            <a:rPr lang="en-GB" sz="1200" b="0">
              <a:solidFill>
                <a:schemeClr val="bg1"/>
              </a:solidFill>
              <a:latin typeface="+mj-lt"/>
            </a:rPr>
            <a:t>profile</a:t>
          </a:r>
        </a:p>
      </xdr:txBody>
    </xdr:sp>
    <xdr:clientData/>
  </xdr:oneCellAnchor>
  <xdr:oneCellAnchor>
    <xdr:from>
      <xdr:col>19</xdr:col>
      <xdr:colOff>0</xdr:colOff>
      <xdr:row>20</xdr:row>
      <xdr:rowOff>15645</xdr:rowOff>
    </xdr:from>
    <xdr:ext cx="1368000" cy="224224"/>
    <xdr:sp macro="" textlink="">
      <xdr:nvSpPr>
        <xdr:cNvPr id="134" name="TextBox 133">
          <a:hlinkClick xmlns:r="http://schemas.openxmlformats.org/officeDocument/2006/relationships" r:id="rId67"/>
          <a:extLst>
            <a:ext uri="{FF2B5EF4-FFF2-40B4-BE49-F238E27FC236}">
              <a16:creationId xmlns:a16="http://schemas.microsoft.com/office/drawing/2014/main" id="{F2D575B4-5C77-8B40-8857-3DB330DEBBFE}"/>
            </a:ext>
          </a:extLst>
        </xdr:cNvPr>
        <xdr:cNvSpPr txBox="1"/>
      </xdr:nvSpPr>
      <xdr:spPr>
        <a:xfrm>
          <a:off x="21805900" y="46003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EDE-Q </a:t>
          </a:r>
          <a:r>
            <a:rPr lang="en-GB" sz="1200" b="0">
              <a:solidFill>
                <a:schemeClr val="bg1"/>
              </a:solidFill>
              <a:latin typeface="+mj-lt"/>
            </a:rPr>
            <a:t>profile</a:t>
          </a:r>
        </a:p>
      </xdr:txBody>
    </xdr:sp>
    <xdr:clientData/>
  </xdr:oneCellAnchor>
  <xdr:oneCellAnchor>
    <xdr:from>
      <xdr:col>19</xdr:col>
      <xdr:colOff>0</xdr:colOff>
      <xdr:row>21</xdr:row>
      <xdr:rowOff>15645</xdr:rowOff>
    </xdr:from>
    <xdr:ext cx="1368000" cy="224224"/>
    <xdr:sp macro="" textlink="">
      <xdr:nvSpPr>
        <xdr:cNvPr id="135" name="TextBox 134">
          <a:hlinkClick xmlns:r="http://schemas.openxmlformats.org/officeDocument/2006/relationships" r:id="rId68"/>
          <a:extLst>
            <a:ext uri="{FF2B5EF4-FFF2-40B4-BE49-F238E27FC236}">
              <a16:creationId xmlns:a16="http://schemas.microsoft.com/office/drawing/2014/main" id="{393AD1F8-047C-954B-9479-4CBD6FCE0979}"/>
            </a:ext>
          </a:extLst>
        </xdr:cNvPr>
        <xdr:cNvSpPr txBox="1"/>
      </xdr:nvSpPr>
      <xdr:spPr>
        <a:xfrm>
          <a:off x="21805900" y="48543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EDE-QS </a:t>
          </a:r>
          <a:r>
            <a:rPr lang="en-GB" sz="1200" b="0">
              <a:solidFill>
                <a:schemeClr val="bg1"/>
              </a:solidFill>
              <a:latin typeface="+mj-lt"/>
            </a:rPr>
            <a:t>profile</a:t>
          </a:r>
        </a:p>
      </xdr:txBody>
    </xdr:sp>
    <xdr:clientData/>
  </xdr:oneCellAnchor>
  <xdr:oneCellAnchor>
    <xdr:from>
      <xdr:col>19</xdr:col>
      <xdr:colOff>0</xdr:colOff>
      <xdr:row>31</xdr:row>
      <xdr:rowOff>15645</xdr:rowOff>
    </xdr:from>
    <xdr:ext cx="1368000" cy="224224"/>
    <xdr:sp macro="" textlink="">
      <xdr:nvSpPr>
        <xdr:cNvPr id="136" name="TextBox 135">
          <a:hlinkClick xmlns:r="http://schemas.openxmlformats.org/officeDocument/2006/relationships" r:id="rId69"/>
          <a:extLst>
            <a:ext uri="{FF2B5EF4-FFF2-40B4-BE49-F238E27FC236}">
              <a16:creationId xmlns:a16="http://schemas.microsoft.com/office/drawing/2014/main" id="{0AD67A97-B8B3-6544-9E56-769F1FF5FAC6}"/>
            </a:ext>
          </a:extLst>
        </xdr:cNvPr>
        <xdr:cNvSpPr txBox="1"/>
      </xdr:nvSpPr>
      <xdr:spPr>
        <a:xfrm>
          <a:off x="21805900" y="83468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PM</a:t>
          </a:r>
          <a:r>
            <a:rPr lang="en-GB" sz="1200" b="1">
              <a:solidFill>
                <a:schemeClr val="bg1"/>
              </a:solidFill>
              <a:latin typeface="+mj-lt"/>
            </a:rPr>
            <a:t>ERQ </a:t>
          </a:r>
          <a:r>
            <a:rPr lang="en-GB" sz="1200" b="0">
              <a:solidFill>
                <a:schemeClr val="bg1"/>
              </a:solidFill>
              <a:latin typeface="+mj-lt"/>
            </a:rPr>
            <a:t>profile</a:t>
          </a:r>
        </a:p>
      </xdr:txBody>
    </xdr:sp>
    <xdr:clientData/>
  </xdr:oneCellAnchor>
  <xdr:twoCellAnchor editAs="oneCell">
    <xdr:from>
      <xdr:col>6</xdr:col>
      <xdr:colOff>0</xdr:colOff>
      <xdr:row>328</xdr:row>
      <xdr:rowOff>0</xdr:rowOff>
    </xdr:from>
    <xdr:to>
      <xdr:col>15</xdr:col>
      <xdr:colOff>704117</xdr:colOff>
      <xdr:row>341</xdr:row>
      <xdr:rowOff>251200</xdr:rowOff>
    </xdr:to>
    <xdr:graphicFrame macro="">
      <xdr:nvGraphicFramePr>
        <xdr:cNvPr id="137" name="Chart 136">
          <a:extLst>
            <a:ext uri="{FF2B5EF4-FFF2-40B4-BE49-F238E27FC236}">
              <a16:creationId xmlns:a16="http://schemas.microsoft.com/office/drawing/2014/main" id="{67A7CEDA-81B9-CC4C-9390-F29628159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0"/>
        </a:graphicData>
      </a:graphic>
    </xdr:graphicFrame>
    <xdr:clientData fLocksWithSheet="0"/>
  </xdr:twoCellAnchor>
  <xdr:oneCellAnchor>
    <xdr:from>
      <xdr:col>18</xdr:col>
      <xdr:colOff>0</xdr:colOff>
      <xdr:row>328</xdr:row>
      <xdr:rowOff>0</xdr:rowOff>
    </xdr:from>
    <xdr:ext cx="1545804" cy="255514"/>
    <xdr:sp macro="" textlink="">
      <xdr:nvSpPr>
        <xdr:cNvPr id="138" name="TextBox 137">
          <a:hlinkClick xmlns:r="http://schemas.openxmlformats.org/officeDocument/2006/relationships" r:id="rId25"/>
          <a:extLst>
            <a:ext uri="{FF2B5EF4-FFF2-40B4-BE49-F238E27FC236}">
              <a16:creationId xmlns:a16="http://schemas.microsoft.com/office/drawing/2014/main" id="{DE59D28A-8DFF-6245-ADC2-6018B9D2D030}"/>
            </a:ext>
          </a:extLst>
        </xdr:cNvPr>
        <xdr:cNvSpPr txBox="1"/>
      </xdr:nvSpPr>
      <xdr:spPr>
        <a:xfrm>
          <a:off x="16586200" y="72148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0</xdr:col>
      <xdr:colOff>0</xdr:colOff>
      <xdr:row>341</xdr:row>
      <xdr:rowOff>0</xdr:rowOff>
    </xdr:from>
    <xdr:ext cx="1728000" cy="224224"/>
    <xdr:sp macro="" textlink="">
      <xdr:nvSpPr>
        <xdr:cNvPr id="139" name="TextBox 138">
          <a:hlinkClick xmlns:r="http://schemas.openxmlformats.org/officeDocument/2006/relationships" r:id="rId71"/>
          <a:extLst>
            <a:ext uri="{FF2B5EF4-FFF2-40B4-BE49-F238E27FC236}">
              <a16:creationId xmlns:a16="http://schemas.microsoft.com/office/drawing/2014/main" id="{98F3F01A-35D2-B744-A50D-B3EA73BEB19B}"/>
            </a:ext>
          </a:extLst>
        </xdr:cNvPr>
        <xdr:cNvSpPr txBox="1"/>
      </xdr:nvSpPr>
      <xdr:spPr>
        <a:xfrm>
          <a:off x="0" y="725932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PMERQ </a:t>
          </a:r>
          <a:r>
            <a:rPr lang="en-GB" sz="1200" b="0">
              <a:solidFill>
                <a:schemeClr val="bg1"/>
              </a:solidFill>
              <a:latin typeface="+mj-lt"/>
            </a:rPr>
            <a:t>input</a:t>
          </a:r>
        </a:p>
      </xdr:txBody>
    </xdr:sp>
    <xdr:clientData/>
  </xdr:oneCellAnchor>
  <xdr:twoCellAnchor editAs="oneCell">
    <xdr:from>
      <xdr:col>6</xdr:col>
      <xdr:colOff>0</xdr:colOff>
      <xdr:row>159</xdr:row>
      <xdr:rowOff>0</xdr:rowOff>
    </xdr:from>
    <xdr:to>
      <xdr:col>15</xdr:col>
      <xdr:colOff>704117</xdr:colOff>
      <xdr:row>172</xdr:row>
      <xdr:rowOff>251200</xdr:rowOff>
    </xdr:to>
    <xdr:graphicFrame macro="">
      <xdr:nvGraphicFramePr>
        <xdr:cNvPr id="115" name="Chart 114">
          <a:extLst>
            <a:ext uri="{FF2B5EF4-FFF2-40B4-BE49-F238E27FC236}">
              <a16:creationId xmlns:a16="http://schemas.microsoft.com/office/drawing/2014/main" id="{A12F6CB0-4C96-1342-B789-E0F069825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2"/>
        </a:graphicData>
      </a:graphic>
    </xdr:graphicFrame>
    <xdr:clientData fLocksWithSheet="0"/>
  </xdr:twoCellAnchor>
  <xdr:twoCellAnchor editAs="oneCell">
    <xdr:from>
      <xdr:col>6</xdr:col>
      <xdr:colOff>0</xdr:colOff>
      <xdr:row>175</xdr:row>
      <xdr:rowOff>0</xdr:rowOff>
    </xdr:from>
    <xdr:to>
      <xdr:col>15</xdr:col>
      <xdr:colOff>704117</xdr:colOff>
      <xdr:row>188</xdr:row>
      <xdr:rowOff>251200</xdr:rowOff>
    </xdr:to>
    <xdr:graphicFrame macro="">
      <xdr:nvGraphicFramePr>
        <xdr:cNvPr id="125" name="Chart 124">
          <a:extLst>
            <a:ext uri="{FF2B5EF4-FFF2-40B4-BE49-F238E27FC236}">
              <a16:creationId xmlns:a16="http://schemas.microsoft.com/office/drawing/2014/main" id="{7DBAC9C8-9F66-C040-A0D1-981D086D6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3"/>
        </a:graphicData>
      </a:graphic>
    </xdr:graphicFrame>
    <xdr:clientData fLocksWithSheet="0"/>
  </xdr:twoCellAnchor>
  <xdr:twoCellAnchor editAs="oneCell">
    <xdr:from>
      <xdr:col>6</xdr:col>
      <xdr:colOff>0</xdr:colOff>
      <xdr:row>108</xdr:row>
      <xdr:rowOff>0</xdr:rowOff>
    </xdr:from>
    <xdr:to>
      <xdr:col>15</xdr:col>
      <xdr:colOff>704117</xdr:colOff>
      <xdr:row>121</xdr:row>
      <xdr:rowOff>251200</xdr:rowOff>
    </xdr:to>
    <xdr:graphicFrame macro="">
      <xdr:nvGraphicFramePr>
        <xdr:cNvPr id="140" name="Chart 139">
          <a:extLst>
            <a:ext uri="{FF2B5EF4-FFF2-40B4-BE49-F238E27FC236}">
              <a16:creationId xmlns:a16="http://schemas.microsoft.com/office/drawing/2014/main" id="{69C7D7C3-EEED-1D49-A0D6-B54FA5D18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4"/>
        </a:graphicData>
      </a:graphic>
    </xdr:graphicFrame>
    <xdr:clientData fLocksWithSheet="0"/>
  </xdr:twoCellAnchor>
  <xdr:oneCellAnchor>
    <xdr:from>
      <xdr:col>18</xdr:col>
      <xdr:colOff>0</xdr:colOff>
      <xdr:row>108</xdr:row>
      <xdr:rowOff>0</xdr:rowOff>
    </xdr:from>
    <xdr:ext cx="1545804" cy="255514"/>
    <xdr:sp macro="" textlink="">
      <xdr:nvSpPr>
        <xdr:cNvPr id="141" name="TextBox 140">
          <a:hlinkClick xmlns:r="http://schemas.openxmlformats.org/officeDocument/2006/relationships" r:id="rId25"/>
          <a:extLst>
            <a:ext uri="{FF2B5EF4-FFF2-40B4-BE49-F238E27FC236}">
              <a16:creationId xmlns:a16="http://schemas.microsoft.com/office/drawing/2014/main" id="{E643AF9B-096F-A847-911D-FED3390EEA62}"/>
            </a:ext>
          </a:extLst>
        </xdr:cNvPr>
        <xdr:cNvSpPr txBox="1"/>
      </xdr:nvSpPr>
      <xdr:spPr>
        <a:xfrm>
          <a:off x="18313400" y="44462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0</xdr:col>
      <xdr:colOff>0</xdr:colOff>
      <xdr:row>112</xdr:row>
      <xdr:rowOff>0</xdr:rowOff>
    </xdr:from>
    <xdr:ext cx="1728000" cy="224224"/>
    <xdr:sp macro="" textlink="">
      <xdr:nvSpPr>
        <xdr:cNvPr id="142" name="TextBox 141">
          <a:hlinkClick xmlns:r="http://schemas.openxmlformats.org/officeDocument/2006/relationships" r:id="rId75"/>
          <a:extLst>
            <a:ext uri="{FF2B5EF4-FFF2-40B4-BE49-F238E27FC236}">
              <a16:creationId xmlns:a16="http://schemas.microsoft.com/office/drawing/2014/main" id="{0305832A-D3EA-5741-B8A8-AA60440B8709}"/>
            </a:ext>
          </a:extLst>
        </xdr:cNvPr>
        <xdr:cNvSpPr txBox="1"/>
      </xdr:nvSpPr>
      <xdr:spPr>
        <a:xfrm>
          <a:off x="0" y="454787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BAI </a:t>
          </a:r>
          <a:r>
            <a:rPr lang="en-GB" sz="1200" b="0">
              <a:solidFill>
                <a:schemeClr val="bg1"/>
              </a:solidFill>
              <a:latin typeface="+mj-lt"/>
            </a:rPr>
            <a:t>input</a:t>
          </a:r>
        </a:p>
      </xdr:txBody>
    </xdr:sp>
    <xdr:clientData/>
  </xdr:oneCellAnchor>
  <xdr:twoCellAnchor editAs="oneCell">
    <xdr:from>
      <xdr:col>6</xdr:col>
      <xdr:colOff>0</xdr:colOff>
      <xdr:row>92</xdr:row>
      <xdr:rowOff>0</xdr:rowOff>
    </xdr:from>
    <xdr:to>
      <xdr:col>15</xdr:col>
      <xdr:colOff>704117</xdr:colOff>
      <xdr:row>105</xdr:row>
      <xdr:rowOff>251200</xdr:rowOff>
    </xdr:to>
    <xdr:graphicFrame macro="">
      <xdr:nvGraphicFramePr>
        <xdr:cNvPr id="143" name="Chart 142">
          <a:extLst>
            <a:ext uri="{FF2B5EF4-FFF2-40B4-BE49-F238E27FC236}">
              <a16:creationId xmlns:a16="http://schemas.microsoft.com/office/drawing/2014/main" id="{A9C0AA3A-A720-2C4B-BD63-847F40C26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6"/>
        </a:graphicData>
      </a:graphic>
    </xdr:graphicFrame>
    <xdr:clientData fLocksWithSheet="0"/>
  </xdr:twoCellAnchor>
  <xdr:oneCellAnchor>
    <xdr:from>
      <xdr:col>18</xdr:col>
      <xdr:colOff>0</xdr:colOff>
      <xdr:row>92</xdr:row>
      <xdr:rowOff>0</xdr:rowOff>
    </xdr:from>
    <xdr:ext cx="1545804" cy="255514"/>
    <xdr:sp macro="" textlink="">
      <xdr:nvSpPr>
        <xdr:cNvPr id="144" name="TextBox 143">
          <a:hlinkClick xmlns:r="http://schemas.openxmlformats.org/officeDocument/2006/relationships" r:id="rId25"/>
          <a:extLst>
            <a:ext uri="{FF2B5EF4-FFF2-40B4-BE49-F238E27FC236}">
              <a16:creationId xmlns:a16="http://schemas.microsoft.com/office/drawing/2014/main" id="{79B261CF-65E8-2C43-A8B7-C5293A8CD0C0}"/>
            </a:ext>
          </a:extLst>
        </xdr:cNvPr>
        <xdr:cNvSpPr txBox="1"/>
      </xdr:nvSpPr>
      <xdr:spPr>
        <a:xfrm>
          <a:off x="18313400" y="27444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0</xdr:col>
      <xdr:colOff>0</xdr:colOff>
      <xdr:row>96</xdr:row>
      <xdr:rowOff>0</xdr:rowOff>
    </xdr:from>
    <xdr:ext cx="1728000" cy="224224"/>
    <xdr:sp macro="" textlink="">
      <xdr:nvSpPr>
        <xdr:cNvPr id="145" name="TextBox 144">
          <a:hlinkClick xmlns:r="http://schemas.openxmlformats.org/officeDocument/2006/relationships" r:id="rId77"/>
          <a:extLst>
            <a:ext uri="{FF2B5EF4-FFF2-40B4-BE49-F238E27FC236}">
              <a16:creationId xmlns:a16="http://schemas.microsoft.com/office/drawing/2014/main" id="{36D19A69-81EA-AE43-9139-FAE526C49FAE}"/>
            </a:ext>
          </a:extLst>
        </xdr:cNvPr>
        <xdr:cNvSpPr txBox="1"/>
      </xdr:nvSpPr>
      <xdr:spPr>
        <a:xfrm>
          <a:off x="0" y="284607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BDI-II </a:t>
          </a:r>
          <a:r>
            <a:rPr lang="en-GB" sz="1200" b="0">
              <a:solidFill>
                <a:schemeClr val="bg1"/>
              </a:solidFill>
              <a:latin typeface="+mj-lt"/>
            </a:rPr>
            <a:t>input</a:t>
          </a:r>
        </a:p>
      </xdr:txBody>
    </xdr:sp>
    <xdr:clientData/>
  </xdr:oneCellAnchor>
  <xdr:oneCellAnchor>
    <xdr:from>
      <xdr:col>19</xdr:col>
      <xdr:colOff>0</xdr:colOff>
      <xdr:row>16</xdr:row>
      <xdr:rowOff>15645</xdr:rowOff>
    </xdr:from>
    <xdr:ext cx="1368000" cy="224224"/>
    <xdr:sp macro="" textlink="">
      <xdr:nvSpPr>
        <xdr:cNvPr id="146" name="TextBox 145">
          <a:hlinkClick xmlns:r="http://schemas.openxmlformats.org/officeDocument/2006/relationships" r:id="rId78"/>
          <a:extLst>
            <a:ext uri="{FF2B5EF4-FFF2-40B4-BE49-F238E27FC236}">
              <a16:creationId xmlns:a16="http://schemas.microsoft.com/office/drawing/2014/main" id="{0101B016-1D96-9649-97A2-438273051B50}"/>
            </a:ext>
          </a:extLst>
        </xdr:cNvPr>
        <xdr:cNvSpPr txBox="1"/>
      </xdr:nvSpPr>
      <xdr:spPr>
        <a:xfrm>
          <a:off x="24091900" y="45876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BDI-II </a:t>
          </a:r>
          <a:r>
            <a:rPr lang="en-GB" sz="1200" b="0">
              <a:solidFill>
                <a:schemeClr val="bg1"/>
              </a:solidFill>
              <a:latin typeface="+mj-lt"/>
            </a:rPr>
            <a:t>profile</a:t>
          </a:r>
        </a:p>
      </xdr:txBody>
    </xdr:sp>
    <xdr:clientData/>
  </xdr:oneCellAnchor>
  <xdr:oneCellAnchor>
    <xdr:from>
      <xdr:col>19</xdr:col>
      <xdr:colOff>0</xdr:colOff>
      <xdr:row>17</xdr:row>
      <xdr:rowOff>15645</xdr:rowOff>
    </xdr:from>
    <xdr:ext cx="1368000" cy="224224"/>
    <xdr:sp macro="" textlink="">
      <xdr:nvSpPr>
        <xdr:cNvPr id="147" name="TextBox 146">
          <a:hlinkClick xmlns:r="http://schemas.openxmlformats.org/officeDocument/2006/relationships" r:id="rId79"/>
          <a:extLst>
            <a:ext uri="{FF2B5EF4-FFF2-40B4-BE49-F238E27FC236}">
              <a16:creationId xmlns:a16="http://schemas.microsoft.com/office/drawing/2014/main" id="{F20F28CF-B3C3-3946-9417-DFFF09F02AAF}"/>
            </a:ext>
          </a:extLst>
        </xdr:cNvPr>
        <xdr:cNvSpPr txBox="1"/>
      </xdr:nvSpPr>
      <xdr:spPr>
        <a:xfrm>
          <a:off x="24091900" y="48416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BAI </a:t>
          </a:r>
          <a:r>
            <a:rPr lang="en-GB" sz="1200" b="0">
              <a:solidFill>
                <a:schemeClr val="bg1"/>
              </a:solidFill>
              <a:latin typeface="+mj-lt"/>
            </a:rPr>
            <a:t>profile</a:t>
          </a:r>
        </a:p>
      </xdr:txBody>
    </xdr:sp>
    <xdr:clientData/>
  </xdr:oneCellAnchor>
  <xdr:oneCellAnchor>
    <xdr:from>
      <xdr:col>18</xdr:col>
      <xdr:colOff>0</xdr:colOff>
      <xdr:row>484</xdr:row>
      <xdr:rowOff>0</xdr:rowOff>
    </xdr:from>
    <xdr:ext cx="1545804" cy="255514"/>
    <xdr:sp macro="" textlink="">
      <xdr:nvSpPr>
        <xdr:cNvPr id="116" name="TextBox 115">
          <a:hlinkClick xmlns:r="http://schemas.openxmlformats.org/officeDocument/2006/relationships" r:id="rId25"/>
          <a:extLst>
            <a:ext uri="{FF2B5EF4-FFF2-40B4-BE49-F238E27FC236}">
              <a16:creationId xmlns:a16="http://schemas.microsoft.com/office/drawing/2014/main" id="{673A3B22-4F42-3148-8810-7417A939C057}"/>
            </a:ext>
          </a:extLst>
        </xdr:cNvPr>
        <xdr:cNvSpPr txBox="1"/>
      </xdr:nvSpPr>
      <xdr:spPr>
        <a:xfrm>
          <a:off x="18313400" y="1308608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0</xdr:col>
      <xdr:colOff>0</xdr:colOff>
      <xdr:row>507</xdr:row>
      <xdr:rowOff>0</xdr:rowOff>
    </xdr:from>
    <xdr:ext cx="1728000" cy="224224"/>
    <xdr:sp macro="" textlink="">
      <xdr:nvSpPr>
        <xdr:cNvPr id="127" name="TextBox 126">
          <a:hlinkClick xmlns:r="http://schemas.openxmlformats.org/officeDocument/2006/relationships" r:id="rId80"/>
          <a:extLst>
            <a:ext uri="{FF2B5EF4-FFF2-40B4-BE49-F238E27FC236}">
              <a16:creationId xmlns:a16="http://schemas.microsoft.com/office/drawing/2014/main" id="{5C46FF39-C656-7845-AA10-3C948E9CD3BB}"/>
            </a:ext>
          </a:extLst>
        </xdr:cNvPr>
        <xdr:cNvSpPr txBox="1"/>
      </xdr:nvSpPr>
      <xdr:spPr>
        <a:xfrm>
          <a:off x="0" y="1367028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YSQ-R </a:t>
          </a:r>
          <a:r>
            <a:rPr lang="en-GB" sz="1200" b="0">
              <a:solidFill>
                <a:schemeClr val="bg1"/>
              </a:solidFill>
              <a:latin typeface="+mj-lt"/>
            </a:rPr>
            <a:t>input</a:t>
          </a:r>
        </a:p>
      </xdr:txBody>
    </xdr:sp>
    <xdr:clientData/>
  </xdr:oneCellAnchor>
  <xdr:twoCellAnchor editAs="oneCell">
    <xdr:from>
      <xdr:col>6</xdr:col>
      <xdr:colOff>0</xdr:colOff>
      <xdr:row>484</xdr:row>
      <xdr:rowOff>0</xdr:rowOff>
    </xdr:from>
    <xdr:to>
      <xdr:col>15</xdr:col>
      <xdr:colOff>704117</xdr:colOff>
      <xdr:row>498</xdr:row>
      <xdr:rowOff>249600</xdr:rowOff>
    </xdr:to>
    <xdr:graphicFrame macro="">
      <xdr:nvGraphicFramePr>
        <xdr:cNvPr id="148" name="Chart 147">
          <a:extLst>
            <a:ext uri="{FF2B5EF4-FFF2-40B4-BE49-F238E27FC236}">
              <a16:creationId xmlns:a16="http://schemas.microsoft.com/office/drawing/2014/main" id="{C6E2F23B-E007-C24C-AB58-C6B2775FC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1"/>
        </a:graphicData>
      </a:graphic>
    </xdr:graphicFrame>
    <xdr:clientData fLocksWithSheet="0"/>
  </xdr:twoCellAnchor>
  <xdr:oneCellAnchor>
    <xdr:from>
      <xdr:col>19</xdr:col>
      <xdr:colOff>0</xdr:colOff>
      <xdr:row>41</xdr:row>
      <xdr:rowOff>0</xdr:rowOff>
    </xdr:from>
    <xdr:ext cx="1368000" cy="224224"/>
    <xdr:sp macro="" textlink="">
      <xdr:nvSpPr>
        <xdr:cNvPr id="149" name="TextBox 148">
          <a:hlinkClick xmlns:r="http://schemas.openxmlformats.org/officeDocument/2006/relationships" r:id="rId82"/>
          <a:extLst>
            <a:ext uri="{FF2B5EF4-FFF2-40B4-BE49-F238E27FC236}">
              <a16:creationId xmlns:a16="http://schemas.microsoft.com/office/drawing/2014/main" id="{31E37171-D5F6-4046-9AAC-78D1A63B4362}"/>
            </a:ext>
          </a:extLst>
        </xdr:cNvPr>
        <xdr:cNvSpPr txBox="1"/>
      </xdr:nvSpPr>
      <xdr:spPr>
        <a:xfrm>
          <a:off x="24091900" y="113538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YSQ-R </a:t>
          </a:r>
          <a:r>
            <a:rPr lang="en-GB" sz="1200" b="0">
              <a:solidFill>
                <a:schemeClr val="bg1"/>
              </a:solidFill>
              <a:latin typeface="+mj-lt"/>
            </a:rPr>
            <a:t>profile</a:t>
          </a:r>
        </a:p>
      </xdr:txBody>
    </xdr:sp>
    <xdr:clientData/>
  </xdr:oneCellAnchor>
  <xdr:twoCellAnchor editAs="oneCell">
    <xdr:from>
      <xdr:col>6</xdr:col>
      <xdr:colOff>0</xdr:colOff>
      <xdr:row>279</xdr:row>
      <xdr:rowOff>253999</xdr:rowOff>
    </xdr:from>
    <xdr:to>
      <xdr:col>15</xdr:col>
      <xdr:colOff>704117</xdr:colOff>
      <xdr:row>293</xdr:row>
      <xdr:rowOff>60699</xdr:rowOff>
    </xdr:to>
    <xdr:graphicFrame macro="">
      <xdr:nvGraphicFramePr>
        <xdr:cNvPr id="150" name="Chart 149">
          <a:extLst>
            <a:ext uri="{FF2B5EF4-FFF2-40B4-BE49-F238E27FC236}">
              <a16:creationId xmlns:a16="http://schemas.microsoft.com/office/drawing/2014/main" id="{C5C531FD-55C8-954B-A01A-157075CEF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3"/>
        </a:graphicData>
      </a:graphic>
    </xdr:graphicFrame>
    <xdr:clientData fLocksWithSheet="0"/>
  </xdr:twoCellAnchor>
  <xdr:oneCellAnchor>
    <xdr:from>
      <xdr:col>18</xdr:col>
      <xdr:colOff>0</xdr:colOff>
      <xdr:row>280</xdr:row>
      <xdr:rowOff>0</xdr:rowOff>
    </xdr:from>
    <xdr:ext cx="1545804" cy="255514"/>
    <xdr:sp macro="" textlink="">
      <xdr:nvSpPr>
        <xdr:cNvPr id="151" name="TextBox 150">
          <a:hlinkClick xmlns:r="http://schemas.openxmlformats.org/officeDocument/2006/relationships" r:id="rId25"/>
          <a:extLst>
            <a:ext uri="{FF2B5EF4-FFF2-40B4-BE49-F238E27FC236}">
              <a16:creationId xmlns:a16="http://schemas.microsoft.com/office/drawing/2014/main" id="{6273AC3D-03B0-6C41-9EF3-DA06DC2B8525}"/>
            </a:ext>
          </a:extLst>
        </xdr:cNvPr>
        <xdr:cNvSpPr txBox="1"/>
      </xdr:nvSpPr>
      <xdr:spPr>
        <a:xfrm>
          <a:off x="18313400" y="67449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0</xdr:col>
      <xdr:colOff>0</xdr:colOff>
      <xdr:row>292</xdr:row>
      <xdr:rowOff>0</xdr:rowOff>
    </xdr:from>
    <xdr:ext cx="1728000" cy="224224"/>
    <xdr:sp macro="" textlink="">
      <xdr:nvSpPr>
        <xdr:cNvPr id="154" name="TextBox 153">
          <a:hlinkClick xmlns:r="http://schemas.openxmlformats.org/officeDocument/2006/relationships" r:id="rId84"/>
          <a:extLst>
            <a:ext uri="{FF2B5EF4-FFF2-40B4-BE49-F238E27FC236}">
              <a16:creationId xmlns:a16="http://schemas.microsoft.com/office/drawing/2014/main" id="{4ECB0B1E-D0B4-3E47-A72B-2A8B1DC827C9}"/>
            </a:ext>
          </a:extLst>
        </xdr:cNvPr>
        <xdr:cNvSpPr txBox="1"/>
      </xdr:nvSpPr>
      <xdr:spPr>
        <a:xfrm>
          <a:off x="0" y="74942700"/>
          <a:ext cx="172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Go to </a:t>
          </a:r>
          <a:r>
            <a:rPr lang="en-GB" sz="1200" b="1">
              <a:solidFill>
                <a:schemeClr val="bg1"/>
              </a:solidFill>
              <a:latin typeface="+mj-lt"/>
            </a:rPr>
            <a:t>PERS-S </a:t>
          </a:r>
          <a:r>
            <a:rPr lang="en-GB" sz="1200" b="0">
              <a:solidFill>
                <a:schemeClr val="bg1"/>
              </a:solidFill>
              <a:latin typeface="+mj-lt"/>
            </a:rPr>
            <a:t>input</a:t>
          </a:r>
        </a:p>
      </xdr:txBody>
    </xdr:sp>
    <xdr:clientData/>
  </xdr:oneCellAnchor>
  <xdr:oneCellAnchor>
    <xdr:from>
      <xdr:col>19</xdr:col>
      <xdr:colOff>0</xdr:colOff>
      <xdr:row>27</xdr:row>
      <xdr:rowOff>0</xdr:rowOff>
    </xdr:from>
    <xdr:ext cx="1368000" cy="224224"/>
    <xdr:sp macro="" textlink="">
      <xdr:nvSpPr>
        <xdr:cNvPr id="155" name="TextBox 154">
          <a:hlinkClick xmlns:r="http://schemas.openxmlformats.org/officeDocument/2006/relationships" r:id="rId85"/>
          <a:extLst>
            <a:ext uri="{FF2B5EF4-FFF2-40B4-BE49-F238E27FC236}">
              <a16:creationId xmlns:a16="http://schemas.microsoft.com/office/drawing/2014/main" id="{91D4AFD7-9467-CF4B-B0CC-2F365D4953E8}"/>
            </a:ext>
          </a:extLst>
        </xdr:cNvPr>
        <xdr:cNvSpPr txBox="1"/>
      </xdr:nvSpPr>
      <xdr:spPr>
        <a:xfrm>
          <a:off x="24091900" y="70358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PERS </a:t>
          </a:r>
          <a:r>
            <a:rPr lang="en-GB" sz="1200" b="0">
              <a:solidFill>
                <a:schemeClr val="bg1"/>
              </a:solidFill>
              <a:latin typeface="+mj-lt"/>
            </a:rPr>
            <a:t>profile</a:t>
          </a:r>
        </a:p>
      </xdr:txBody>
    </xdr:sp>
    <xdr:clientData/>
  </xdr:oneCellAnchor>
  <xdr:oneCellAnchor>
    <xdr:from>
      <xdr:col>19</xdr:col>
      <xdr:colOff>0</xdr:colOff>
      <xdr:row>28</xdr:row>
      <xdr:rowOff>0</xdr:rowOff>
    </xdr:from>
    <xdr:ext cx="1368000" cy="224224"/>
    <xdr:sp macro="" textlink="">
      <xdr:nvSpPr>
        <xdr:cNvPr id="156" name="TextBox 155">
          <a:hlinkClick xmlns:r="http://schemas.openxmlformats.org/officeDocument/2006/relationships" r:id="rId86"/>
          <a:extLst>
            <a:ext uri="{FF2B5EF4-FFF2-40B4-BE49-F238E27FC236}">
              <a16:creationId xmlns:a16="http://schemas.microsoft.com/office/drawing/2014/main" id="{3635B1EF-AF39-3D4E-9D53-D3B9FF0D0E3B}"/>
            </a:ext>
          </a:extLst>
        </xdr:cNvPr>
        <xdr:cNvSpPr txBox="1"/>
      </xdr:nvSpPr>
      <xdr:spPr>
        <a:xfrm>
          <a:off x="24091900" y="72898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PERS-S </a:t>
          </a:r>
          <a:r>
            <a:rPr lang="en-GB" sz="1200" b="0">
              <a:solidFill>
                <a:schemeClr val="bg1"/>
              </a:solidFill>
              <a:latin typeface="+mj-lt"/>
            </a:rPr>
            <a:t>profile</a:t>
          </a:r>
        </a:p>
      </xdr:txBody>
    </xdr:sp>
    <xdr:clientData/>
  </xdr:oneCellAnchor>
  <xdr:oneCellAnchor>
    <xdr:from>
      <xdr:col>18</xdr:col>
      <xdr:colOff>0</xdr:colOff>
      <xdr:row>44</xdr:row>
      <xdr:rowOff>0</xdr:rowOff>
    </xdr:from>
    <xdr:ext cx="1545804" cy="255514"/>
    <xdr:sp macro="" textlink="">
      <xdr:nvSpPr>
        <xdr:cNvPr id="14" name="TextBox 13">
          <a:hlinkClick xmlns:r="http://schemas.openxmlformats.org/officeDocument/2006/relationships" r:id="rId25"/>
          <a:extLst>
            <a:ext uri="{FF2B5EF4-FFF2-40B4-BE49-F238E27FC236}">
              <a16:creationId xmlns:a16="http://schemas.microsoft.com/office/drawing/2014/main" id="{440C7CFE-598B-394B-B291-B50CEDAA9499}"/>
            </a:ext>
          </a:extLst>
        </xdr:cNvPr>
        <xdr:cNvSpPr txBox="1"/>
      </xdr:nvSpPr>
      <xdr:spPr>
        <a:xfrm>
          <a:off x="18313400" y="121920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twoCellAnchor editAs="oneCell">
    <xdr:from>
      <xdr:col>5</xdr:col>
      <xdr:colOff>825499</xdr:colOff>
      <xdr:row>468</xdr:row>
      <xdr:rowOff>0</xdr:rowOff>
    </xdr:from>
    <xdr:to>
      <xdr:col>15</xdr:col>
      <xdr:colOff>702899</xdr:colOff>
      <xdr:row>481</xdr:row>
      <xdr:rowOff>251200</xdr:rowOff>
    </xdr:to>
    <xdr:graphicFrame macro="">
      <xdr:nvGraphicFramePr>
        <xdr:cNvPr id="3" name="Chart 2">
          <a:extLst>
            <a:ext uri="{FF2B5EF4-FFF2-40B4-BE49-F238E27FC236}">
              <a16:creationId xmlns:a16="http://schemas.microsoft.com/office/drawing/2014/main" id="{C9F58BFB-28B8-9F42-9D1D-3328BD198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7"/>
        </a:graphicData>
      </a:graphic>
    </xdr:graphicFrame>
    <xdr:clientData fLocksWithSheet="0"/>
  </xdr:twoCellAnchor>
</xdr:wsDr>
</file>

<file path=xl/drawings/drawing4.xml><?xml version="1.0" encoding="utf-8"?>
<c:userShapes xmlns:c="http://schemas.openxmlformats.org/drawingml/2006/chart">
  <cdr:relSizeAnchor xmlns:cdr="http://schemas.openxmlformats.org/drawingml/2006/chartDrawing">
    <cdr:from>
      <cdr:x>0.07776</cdr:x>
      <cdr:y>0.76704</cdr:y>
    </cdr:from>
    <cdr:to>
      <cdr:x>0.11554</cdr:x>
      <cdr:y>0.836</cdr:y>
    </cdr:to>
    <cdr:sp macro="" textlink="">
      <cdr:nvSpPr>
        <cdr:cNvPr id="3" name="TextBox 2">
          <a:extLst xmlns:a="http://schemas.openxmlformats.org/drawingml/2006/main">
            <a:ext uri="{FF2B5EF4-FFF2-40B4-BE49-F238E27FC236}">
              <a16:creationId xmlns:a16="http://schemas.microsoft.com/office/drawing/2014/main" id="{1F000F5D-E676-DA4B-97BD-3B45A31CD1B9}"/>
            </a:ext>
          </a:extLst>
        </cdr:cNvPr>
        <cdr:cNvSpPr txBox="1"/>
      </cdr:nvSpPr>
      <cdr:spPr>
        <a:xfrm xmlns:a="http://schemas.openxmlformats.org/drawingml/2006/main">
          <a:off x="632470" y="2724045"/>
          <a:ext cx="307288" cy="244903"/>
        </a:xfrm>
        <a:prstGeom xmlns:a="http://schemas.openxmlformats.org/drawingml/2006/main" prst="rect">
          <a:avLst/>
        </a:prstGeom>
      </cdr:spPr>
      <cdr:txBody>
        <a:bodyPr xmlns:a="http://schemas.openxmlformats.org/drawingml/2006/main" vertOverflow="clip" horzOverflow="clip" wrap="none" lIns="36000" tIns="36000" rIns="36000" bIns="36000" rtlCol="0" anchor="ctr" anchorCtr="0">
          <a:spAutoFit/>
        </a:bodyPr>
        <a:lstStyle xmlns:a="http://schemas.openxmlformats.org/drawingml/2006/main"/>
        <a:p xmlns:a="http://schemas.openxmlformats.org/drawingml/2006/main">
          <a:r>
            <a:rPr lang="en-GB" sz="1100">
              <a:solidFill>
                <a:schemeClr val="accent4">
                  <a:lumMod val="50000"/>
                </a:schemeClr>
              </a:solidFill>
            </a:rPr>
            <a:t>Low</a:t>
          </a:r>
        </a:p>
      </cdr:txBody>
    </cdr:sp>
  </cdr:relSizeAnchor>
  <cdr:relSizeAnchor xmlns:cdr="http://schemas.openxmlformats.org/drawingml/2006/chartDrawing">
    <cdr:from>
      <cdr:x>0.07776</cdr:x>
      <cdr:y>0.12439</cdr:y>
    </cdr:from>
    <cdr:to>
      <cdr:x>0.11877</cdr:x>
      <cdr:y>0.19336</cdr:y>
    </cdr:to>
    <cdr:sp macro="" textlink="">
      <cdr:nvSpPr>
        <cdr:cNvPr id="4" name="TextBox 3">
          <a:extLst xmlns:a="http://schemas.openxmlformats.org/drawingml/2006/main">
            <a:ext uri="{FF2B5EF4-FFF2-40B4-BE49-F238E27FC236}">
              <a16:creationId xmlns:a16="http://schemas.microsoft.com/office/drawing/2014/main" id="{F4CC5B58-343B-6F40-8750-8C03C117A852}"/>
            </a:ext>
          </a:extLst>
        </cdr:cNvPr>
        <cdr:cNvSpPr txBox="1"/>
      </cdr:nvSpPr>
      <cdr:spPr>
        <a:xfrm xmlns:a="http://schemas.openxmlformats.org/drawingml/2006/main">
          <a:off x="632470" y="441755"/>
          <a:ext cx="333560" cy="244938"/>
        </a:xfrm>
        <a:prstGeom xmlns:a="http://schemas.openxmlformats.org/drawingml/2006/main" prst="rect">
          <a:avLst/>
        </a:prstGeom>
      </cdr:spPr>
      <cdr:txBody>
        <a:bodyPr xmlns:a="http://schemas.openxmlformats.org/drawingml/2006/main" vertOverflow="clip" horzOverflow="clip" wrap="none" lIns="36000" tIns="36000" rIns="36000" bIns="36000" rtlCol="0" anchor="ctr" anchorCtr="0">
          <a:spAutoFit/>
        </a:bodyPr>
        <a:lstStyle xmlns:a="http://schemas.openxmlformats.org/drawingml/2006/main"/>
        <a:p xmlns:a="http://schemas.openxmlformats.org/drawingml/2006/main">
          <a:r>
            <a:rPr lang="en-GB" sz="1100">
              <a:solidFill>
                <a:schemeClr val="accent4">
                  <a:lumMod val="50000"/>
                </a:schemeClr>
              </a:solidFill>
            </a:rPr>
            <a:t>High</a:t>
          </a:r>
        </a:p>
      </cdr:txBody>
    </cdr:sp>
  </cdr:relSizeAnchor>
  <cdr:relSizeAnchor xmlns:cdr="http://schemas.openxmlformats.org/drawingml/2006/chartDrawing">
    <cdr:from>
      <cdr:x>0.07584</cdr:x>
      <cdr:y>0.83672</cdr:y>
    </cdr:from>
    <cdr:to>
      <cdr:x>0.45296</cdr:x>
      <cdr:y>0.98347</cdr:y>
    </cdr:to>
    <cdr:sp macro="" textlink="">
      <cdr:nvSpPr>
        <cdr:cNvPr id="5" name="TextBox 4">
          <a:extLst xmlns:a="http://schemas.openxmlformats.org/drawingml/2006/main">
            <a:ext uri="{FF2B5EF4-FFF2-40B4-BE49-F238E27FC236}">
              <a16:creationId xmlns:a16="http://schemas.microsoft.com/office/drawing/2014/main" id="{EC7F6CCA-7A7D-7842-9368-22D923C91FC5}"/>
            </a:ext>
          </a:extLst>
        </cdr:cNvPr>
        <cdr:cNvSpPr txBox="1"/>
      </cdr:nvSpPr>
      <cdr:spPr>
        <a:xfrm xmlns:a="http://schemas.openxmlformats.org/drawingml/2006/main">
          <a:off x="616854" y="2971505"/>
          <a:ext cx="3067349" cy="521164"/>
        </a:xfrm>
        <a:prstGeom xmlns:a="http://schemas.openxmlformats.org/drawingml/2006/main" prst="rect">
          <a:avLst/>
        </a:prstGeom>
        <a:ln xmlns:a="http://schemas.openxmlformats.org/drawingml/2006/main" w="9525">
          <a:noFill/>
        </a:ln>
      </cdr:spPr>
      <cdr:txBody>
        <a:bodyPr xmlns:a="http://schemas.openxmlformats.org/drawingml/2006/main" vertOverflow="clip" horzOverflow="clip" wrap="square" lIns="36000" tIns="108000" rIns="36000" bIns="36000" rtlCol="0">
          <a:spAutoFit/>
        </a:bodyPr>
        <a:lstStyle xmlns:a="http://schemas.openxmlformats.org/drawingml/2006/main"/>
        <a:p xmlns:a="http://schemas.openxmlformats.org/drawingml/2006/main">
          <a:pPr algn="ctr"/>
          <a:endParaRPr lang="en-GB" sz="1200">
            <a:solidFill>
              <a:schemeClr val="bg2">
                <a:lumMod val="75000"/>
              </a:schemeClr>
            </a:solidFill>
          </a:endParaRPr>
        </a:p>
        <a:p xmlns:a="http://schemas.openxmlformats.org/drawingml/2006/main">
          <a:pPr algn="ctr"/>
          <a:r>
            <a:rPr lang="en-GB" sz="1200" b="1">
              <a:solidFill>
                <a:schemeClr val="bg2">
                  <a:lumMod val="75000"/>
                </a:schemeClr>
              </a:solidFill>
            </a:rPr>
            <a:t>Subscales</a:t>
          </a:r>
        </a:p>
      </cdr:txBody>
    </cdr:sp>
  </cdr:relSizeAnchor>
  <cdr:relSizeAnchor xmlns:cdr="http://schemas.openxmlformats.org/drawingml/2006/chartDrawing">
    <cdr:from>
      <cdr:x>0.52982</cdr:x>
      <cdr:y>0.83672</cdr:y>
    </cdr:from>
    <cdr:to>
      <cdr:x>0.98174</cdr:x>
      <cdr:y>0.98347</cdr:y>
    </cdr:to>
    <cdr:sp macro="" textlink="">
      <cdr:nvSpPr>
        <cdr:cNvPr id="12" name="TextBox 1">
          <a:extLst xmlns:a="http://schemas.openxmlformats.org/drawingml/2006/main">
            <a:ext uri="{FF2B5EF4-FFF2-40B4-BE49-F238E27FC236}">
              <a16:creationId xmlns:a16="http://schemas.microsoft.com/office/drawing/2014/main" id="{38320C4F-4D78-1A42-8593-F17807B248DE}"/>
            </a:ext>
          </a:extLst>
        </cdr:cNvPr>
        <cdr:cNvSpPr txBox="1"/>
      </cdr:nvSpPr>
      <cdr:spPr>
        <a:xfrm xmlns:a="http://schemas.openxmlformats.org/drawingml/2006/main">
          <a:off x="4309353" y="2971505"/>
          <a:ext cx="3675744" cy="521164"/>
        </a:xfrm>
        <a:prstGeom xmlns:a="http://schemas.openxmlformats.org/drawingml/2006/main" prst="rect">
          <a:avLst/>
        </a:prstGeom>
        <a:ln xmlns:a="http://schemas.openxmlformats.org/drawingml/2006/main" w="9525">
          <a:noFill/>
        </a:ln>
      </cdr:spPr>
      <cdr:txBody>
        <a:bodyPr xmlns:a="http://schemas.openxmlformats.org/drawingml/2006/main" wrap="square" lIns="36000" tIns="108000" rIns="36000" bIns="36000"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en-GB" sz="1200">
            <a:solidFill>
              <a:schemeClr val="bg2">
                <a:lumMod val="75000"/>
              </a:schemeClr>
            </a:solidFill>
          </a:endParaRPr>
        </a:p>
        <a:p xmlns:a="http://schemas.openxmlformats.org/drawingml/2006/main">
          <a:pPr algn="ctr"/>
          <a:r>
            <a:rPr lang="en-GB" sz="1200" b="1">
              <a:solidFill>
                <a:schemeClr val="bg2">
                  <a:lumMod val="75000"/>
                </a:schemeClr>
              </a:solidFill>
            </a:rPr>
            <a:t>Composites</a:t>
          </a:r>
        </a:p>
      </cdr:txBody>
    </cdr:sp>
  </cdr:relSizeAnchor>
</c:userShapes>
</file>

<file path=xl/drawings/drawing5.xml><?xml version="1.0" encoding="utf-8"?>
<c:userShapes xmlns:c="http://schemas.openxmlformats.org/drawingml/2006/chart">
  <cdr:relSizeAnchor xmlns:cdr="http://schemas.openxmlformats.org/drawingml/2006/chartDrawing">
    <cdr:from>
      <cdr:x>0.07493</cdr:x>
      <cdr:y>0.72197</cdr:y>
    </cdr:from>
    <cdr:to>
      <cdr:x>0.11271</cdr:x>
      <cdr:y>0.79094</cdr:y>
    </cdr:to>
    <cdr:sp macro="" textlink="">
      <cdr:nvSpPr>
        <cdr:cNvPr id="3" name="TextBox 2">
          <a:extLst xmlns:a="http://schemas.openxmlformats.org/drawingml/2006/main">
            <a:ext uri="{FF2B5EF4-FFF2-40B4-BE49-F238E27FC236}">
              <a16:creationId xmlns:a16="http://schemas.microsoft.com/office/drawing/2014/main" id="{1F000F5D-E676-DA4B-97BD-3B45A31CD1B9}"/>
            </a:ext>
          </a:extLst>
        </cdr:cNvPr>
        <cdr:cNvSpPr txBox="1"/>
      </cdr:nvSpPr>
      <cdr:spPr>
        <a:xfrm xmlns:a="http://schemas.openxmlformats.org/drawingml/2006/main">
          <a:off x="609452" y="2563985"/>
          <a:ext cx="307288" cy="244939"/>
        </a:xfrm>
        <a:prstGeom xmlns:a="http://schemas.openxmlformats.org/drawingml/2006/main" prst="rect">
          <a:avLst/>
        </a:prstGeom>
      </cdr:spPr>
      <cdr:txBody>
        <a:bodyPr xmlns:a="http://schemas.openxmlformats.org/drawingml/2006/main" vertOverflow="clip" horzOverflow="clip" wrap="none" lIns="36000" tIns="36000" rIns="36000" bIns="36000" rtlCol="0">
          <a:spAutoFit/>
        </a:bodyPr>
        <a:lstStyle xmlns:a="http://schemas.openxmlformats.org/drawingml/2006/main"/>
        <a:p xmlns:a="http://schemas.openxmlformats.org/drawingml/2006/main">
          <a:r>
            <a:rPr lang="en-GB" sz="1100">
              <a:solidFill>
                <a:schemeClr val="accent4">
                  <a:lumMod val="50000"/>
                </a:schemeClr>
              </a:solidFill>
            </a:rPr>
            <a:t>Low</a:t>
          </a:r>
        </a:p>
      </cdr:txBody>
    </cdr:sp>
  </cdr:relSizeAnchor>
  <cdr:relSizeAnchor xmlns:cdr="http://schemas.openxmlformats.org/drawingml/2006/chartDrawing">
    <cdr:from>
      <cdr:x>0.07481</cdr:x>
      <cdr:y>0.80971</cdr:y>
    </cdr:from>
    <cdr:to>
      <cdr:x>0.59334</cdr:x>
      <cdr:y>0.94656</cdr:y>
    </cdr:to>
    <cdr:sp macro="" textlink="">
      <cdr:nvSpPr>
        <cdr:cNvPr id="5" name="TextBox 4">
          <a:extLst xmlns:a="http://schemas.openxmlformats.org/drawingml/2006/main">
            <a:ext uri="{FF2B5EF4-FFF2-40B4-BE49-F238E27FC236}">
              <a16:creationId xmlns:a16="http://schemas.microsoft.com/office/drawing/2014/main" id="{EC7F6CCA-7A7D-7842-9368-22D923C91FC5}"/>
            </a:ext>
          </a:extLst>
        </cdr:cNvPr>
        <cdr:cNvSpPr txBox="1"/>
      </cdr:nvSpPr>
      <cdr:spPr>
        <a:xfrm xmlns:a="http://schemas.openxmlformats.org/drawingml/2006/main">
          <a:off x="608476" y="2875582"/>
          <a:ext cx="4217524" cy="486000"/>
        </a:xfrm>
        <a:prstGeom xmlns:a="http://schemas.openxmlformats.org/drawingml/2006/main" prst="rect">
          <a:avLst/>
        </a:prstGeom>
        <a:ln xmlns:a="http://schemas.openxmlformats.org/drawingml/2006/main" w="9525">
          <a:noFill/>
        </a:ln>
      </cdr:spPr>
      <cdr:txBody>
        <a:bodyPr xmlns:a="http://schemas.openxmlformats.org/drawingml/2006/main" vertOverflow="clip" horzOverflow="clip" wrap="square" lIns="36000" tIns="108000" rIns="36000" bIns="36000" rtlCol="0">
          <a:spAutoFit/>
        </a:bodyPr>
        <a:lstStyle xmlns:a="http://schemas.openxmlformats.org/drawingml/2006/main"/>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Subscales</a:t>
          </a:r>
        </a:p>
      </cdr:txBody>
    </cdr:sp>
  </cdr:relSizeAnchor>
  <cdr:relSizeAnchor xmlns:cdr="http://schemas.openxmlformats.org/drawingml/2006/chartDrawing">
    <cdr:from>
      <cdr:x>0.65893</cdr:x>
      <cdr:y>0.8097</cdr:y>
    </cdr:from>
    <cdr:to>
      <cdr:x>0.98173</cdr:x>
      <cdr:y>0.94655</cdr:y>
    </cdr:to>
    <cdr:sp macro="" textlink="">
      <cdr:nvSpPr>
        <cdr:cNvPr id="12" name="TextBox 1">
          <a:extLst xmlns:a="http://schemas.openxmlformats.org/drawingml/2006/main">
            <a:ext uri="{FF2B5EF4-FFF2-40B4-BE49-F238E27FC236}">
              <a16:creationId xmlns:a16="http://schemas.microsoft.com/office/drawing/2014/main" id="{38320C4F-4D78-1A42-8593-F17807B248DE}"/>
            </a:ext>
          </a:extLst>
        </cdr:cNvPr>
        <cdr:cNvSpPr txBox="1"/>
      </cdr:nvSpPr>
      <cdr:spPr>
        <a:xfrm xmlns:a="http://schemas.openxmlformats.org/drawingml/2006/main">
          <a:off x="5359484" y="2875548"/>
          <a:ext cx="2625532" cy="486000"/>
        </a:xfrm>
        <a:prstGeom xmlns:a="http://schemas.openxmlformats.org/drawingml/2006/main" prst="rect">
          <a:avLst/>
        </a:prstGeom>
        <a:ln xmlns:a="http://schemas.openxmlformats.org/drawingml/2006/main" w="9525">
          <a:noFill/>
        </a:ln>
      </cdr:spPr>
      <cdr:txBody>
        <a:bodyPr xmlns:a="http://schemas.openxmlformats.org/drawingml/2006/main" wrap="square" lIns="36000" tIns="108000" rIns="36000" bIns="36000"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Composites</a:t>
          </a:r>
        </a:p>
      </cdr:txBody>
    </cdr:sp>
  </cdr:relSizeAnchor>
  <cdr:relSizeAnchor xmlns:cdr="http://schemas.openxmlformats.org/drawingml/2006/chartDrawing">
    <cdr:from>
      <cdr:x>0.07493</cdr:x>
      <cdr:y>0.12061</cdr:y>
    </cdr:from>
    <cdr:to>
      <cdr:x>0.11594</cdr:x>
      <cdr:y>0.18958</cdr:y>
    </cdr:to>
    <cdr:sp macro="" textlink="">
      <cdr:nvSpPr>
        <cdr:cNvPr id="14" name="TextBox 2">
          <a:extLst xmlns:a="http://schemas.openxmlformats.org/drawingml/2006/main">
            <a:ext uri="{FF2B5EF4-FFF2-40B4-BE49-F238E27FC236}">
              <a16:creationId xmlns:a16="http://schemas.microsoft.com/office/drawing/2014/main" id="{5FA11F9C-6219-A146-91CD-C3238070DAE3}"/>
            </a:ext>
          </a:extLst>
        </cdr:cNvPr>
        <cdr:cNvSpPr txBox="1"/>
      </cdr:nvSpPr>
      <cdr:spPr>
        <a:xfrm xmlns:a="http://schemas.openxmlformats.org/drawingml/2006/main">
          <a:off x="609452" y="428339"/>
          <a:ext cx="333560" cy="244938"/>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High</a:t>
          </a:r>
        </a:p>
      </cdr:txBody>
    </cdr:sp>
  </cdr:relSizeAnchor>
</c:userShapes>
</file>

<file path=xl/drawings/drawing6.xml><?xml version="1.0" encoding="utf-8"?>
<c:userShapes xmlns:c="http://schemas.openxmlformats.org/drawingml/2006/chart">
  <cdr:relSizeAnchor xmlns:cdr="http://schemas.openxmlformats.org/drawingml/2006/chartDrawing">
    <cdr:from>
      <cdr:x>0.07183</cdr:x>
      <cdr:y>0.83874</cdr:y>
    </cdr:from>
    <cdr:to>
      <cdr:x>0.80569</cdr:x>
      <cdr:y>0.93687</cdr:y>
    </cdr:to>
    <cdr:sp macro="" textlink="">
      <cdr:nvSpPr>
        <cdr:cNvPr id="5" name="TextBox 4">
          <a:extLst xmlns:a="http://schemas.openxmlformats.org/drawingml/2006/main">
            <a:ext uri="{FF2B5EF4-FFF2-40B4-BE49-F238E27FC236}">
              <a16:creationId xmlns:a16="http://schemas.microsoft.com/office/drawing/2014/main" id="{EC7F6CCA-7A7D-7842-9368-22D923C91FC5}"/>
            </a:ext>
          </a:extLst>
        </cdr:cNvPr>
        <cdr:cNvSpPr txBox="1"/>
      </cdr:nvSpPr>
      <cdr:spPr>
        <a:xfrm xmlns:a="http://schemas.openxmlformats.org/drawingml/2006/main">
          <a:off x="584200" y="4046082"/>
          <a:ext cx="5969000" cy="473379"/>
        </a:xfrm>
        <a:prstGeom xmlns:a="http://schemas.openxmlformats.org/drawingml/2006/main" prst="rect">
          <a:avLst/>
        </a:prstGeom>
        <a:ln xmlns:a="http://schemas.openxmlformats.org/drawingml/2006/main" w="9525">
          <a:noFill/>
        </a:ln>
      </cdr:spPr>
      <cdr:txBody>
        <a:bodyPr xmlns:a="http://schemas.openxmlformats.org/drawingml/2006/main" vertOverflow="clip" horzOverflow="clip" wrap="square" lIns="36000" tIns="108000" rIns="36000" bIns="36000" rtlCol="0">
          <a:spAutoFit/>
        </a:bodyPr>
        <a:lstStyle xmlns:a="http://schemas.openxmlformats.org/drawingml/2006/main"/>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Subscales</a:t>
          </a:r>
        </a:p>
      </cdr:txBody>
    </cdr:sp>
  </cdr:relSizeAnchor>
  <cdr:relSizeAnchor xmlns:cdr="http://schemas.openxmlformats.org/drawingml/2006/chartDrawing">
    <cdr:from>
      <cdr:x>0.83536</cdr:x>
      <cdr:y>0.83383</cdr:y>
    </cdr:from>
    <cdr:to>
      <cdr:x>0.98526</cdr:x>
      <cdr:y>0.96598</cdr:y>
    </cdr:to>
    <cdr:sp macro="" textlink="">
      <cdr:nvSpPr>
        <cdr:cNvPr id="12" name="TextBox 1">
          <a:extLst xmlns:a="http://schemas.openxmlformats.org/drawingml/2006/main">
            <a:ext uri="{FF2B5EF4-FFF2-40B4-BE49-F238E27FC236}">
              <a16:creationId xmlns:a16="http://schemas.microsoft.com/office/drawing/2014/main" id="{38320C4F-4D78-1A42-8593-F17807B248DE}"/>
            </a:ext>
          </a:extLst>
        </cdr:cNvPr>
        <cdr:cNvSpPr txBox="1"/>
      </cdr:nvSpPr>
      <cdr:spPr>
        <a:xfrm xmlns:a="http://schemas.openxmlformats.org/drawingml/2006/main">
          <a:off x="6794499" y="4029427"/>
          <a:ext cx="1219201" cy="638618"/>
        </a:xfrm>
        <a:prstGeom xmlns:a="http://schemas.openxmlformats.org/drawingml/2006/main" prst="rect">
          <a:avLst/>
        </a:prstGeom>
        <a:ln xmlns:a="http://schemas.openxmlformats.org/drawingml/2006/main" w="9525">
          <a:noFill/>
        </a:ln>
      </cdr:spPr>
      <cdr:txBody>
        <a:bodyPr xmlns:a="http://schemas.openxmlformats.org/drawingml/2006/main" wrap="square" lIns="36000" tIns="108000" rIns="36000" bIns="36000"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Primary  Personality Domains</a:t>
          </a:r>
        </a:p>
      </cdr:txBody>
    </cdr:sp>
  </cdr:relSizeAnchor>
  <cdr:relSizeAnchor xmlns:cdr="http://schemas.openxmlformats.org/drawingml/2006/chartDrawing">
    <cdr:from>
      <cdr:x>0.07387</cdr:x>
      <cdr:y>0.60075</cdr:y>
    </cdr:from>
    <cdr:to>
      <cdr:x>0.11165</cdr:x>
      <cdr:y>0.65144</cdr:y>
    </cdr:to>
    <cdr:sp macro="" textlink="">
      <cdr:nvSpPr>
        <cdr:cNvPr id="6" name="TextBox 1">
          <a:extLst xmlns:a="http://schemas.openxmlformats.org/drawingml/2006/main">
            <a:ext uri="{FF2B5EF4-FFF2-40B4-BE49-F238E27FC236}">
              <a16:creationId xmlns:a16="http://schemas.microsoft.com/office/drawing/2014/main" id="{C9D81E97-7004-F344-867B-FF79354E3E61}"/>
            </a:ext>
          </a:extLst>
        </cdr:cNvPr>
        <cdr:cNvSpPr txBox="1"/>
      </cdr:nvSpPr>
      <cdr:spPr>
        <a:xfrm xmlns:a="http://schemas.openxmlformats.org/drawingml/2006/main">
          <a:off x="600830" y="2898018"/>
          <a:ext cx="307288" cy="244529"/>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Low</a:t>
          </a:r>
        </a:p>
      </cdr:txBody>
    </cdr:sp>
  </cdr:relSizeAnchor>
  <cdr:relSizeAnchor xmlns:cdr="http://schemas.openxmlformats.org/drawingml/2006/chartDrawing">
    <cdr:from>
      <cdr:x>0.07387</cdr:x>
      <cdr:y>0.09264</cdr:y>
    </cdr:from>
    <cdr:to>
      <cdr:x>0.11488</cdr:x>
      <cdr:y>0.14332</cdr:y>
    </cdr:to>
    <cdr:sp macro="" textlink="">
      <cdr:nvSpPr>
        <cdr:cNvPr id="7" name="TextBox 2">
          <a:extLst xmlns:a="http://schemas.openxmlformats.org/drawingml/2006/main">
            <a:ext uri="{FF2B5EF4-FFF2-40B4-BE49-F238E27FC236}">
              <a16:creationId xmlns:a16="http://schemas.microsoft.com/office/drawing/2014/main" id="{E6925C8E-34C2-B645-A1AD-5BB102E0A2C4}"/>
            </a:ext>
          </a:extLst>
        </cdr:cNvPr>
        <cdr:cNvSpPr txBox="1"/>
      </cdr:nvSpPr>
      <cdr:spPr>
        <a:xfrm xmlns:a="http://schemas.openxmlformats.org/drawingml/2006/main">
          <a:off x="600830" y="446895"/>
          <a:ext cx="333559" cy="244481"/>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High</a:t>
          </a:r>
        </a:p>
      </cdr:txBody>
    </cdr:sp>
  </cdr:relSizeAnchor>
</c:userShapes>
</file>

<file path=xl/drawings/drawing7.xml><?xml version="1.0" encoding="utf-8"?>
<c:userShapes xmlns:c="http://schemas.openxmlformats.org/drawingml/2006/chart">
  <cdr:relSizeAnchor xmlns:cdr="http://schemas.openxmlformats.org/drawingml/2006/chartDrawing">
    <cdr:from>
      <cdr:x>0.07896</cdr:x>
      <cdr:y>0.83995</cdr:y>
    </cdr:from>
    <cdr:to>
      <cdr:x>0.68204</cdr:x>
      <cdr:y>0.97548</cdr:y>
    </cdr:to>
    <cdr:sp macro="" textlink="">
      <cdr:nvSpPr>
        <cdr:cNvPr id="5" name="TextBox 4">
          <a:extLst xmlns:a="http://schemas.openxmlformats.org/drawingml/2006/main">
            <a:ext uri="{FF2B5EF4-FFF2-40B4-BE49-F238E27FC236}">
              <a16:creationId xmlns:a16="http://schemas.microsoft.com/office/drawing/2014/main" id="{EC7F6CCA-7A7D-7842-9368-22D923C91FC5}"/>
            </a:ext>
          </a:extLst>
        </cdr:cNvPr>
        <cdr:cNvSpPr txBox="1"/>
      </cdr:nvSpPr>
      <cdr:spPr>
        <a:xfrm xmlns:a="http://schemas.openxmlformats.org/drawingml/2006/main">
          <a:off x="642230" y="2984510"/>
          <a:ext cx="4905222" cy="481566"/>
        </a:xfrm>
        <a:prstGeom xmlns:a="http://schemas.openxmlformats.org/drawingml/2006/main" prst="rect">
          <a:avLst/>
        </a:prstGeom>
        <a:ln xmlns:a="http://schemas.openxmlformats.org/drawingml/2006/main" w="9525">
          <a:noFill/>
        </a:ln>
      </cdr:spPr>
      <cdr:txBody>
        <a:bodyPr xmlns:a="http://schemas.openxmlformats.org/drawingml/2006/main" vertOverflow="clip" horzOverflow="clip" wrap="square" lIns="36000" tIns="108000" rIns="36000" bIns="36000" rtlCol="0">
          <a:spAutoFit/>
        </a:bodyPr>
        <a:lstStyle xmlns:a="http://schemas.openxmlformats.org/drawingml/2006/main"/>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Subscales</a:t>
          </a:r>
        </a:p>
      </cdr:txBody>
    </cdr:sp>
  </cdr:relSizeAnchor>
  <cdr:relSizeAnchor xmlns:cdr="http://schemas.openxmlformats.org/drawingml/2006/chartDrawing">
    <cdr:from>
      <cdr:x>0.78451</cdr:x>
      <cdr:y>0.8387</cdr:y>
    </cdr:from>
    <cdr:to>
      <cdr:x>0.98106</cdr:x>
      <cdr:y>0.97548</cdr:y>
    </cdr:to>
    <cdr:sp macro="" textlink="">
      <cdr:nvSpPr>
        <cdr:cNvPr id="12" name="TextBox 1">
          <a:extLst xmlns:a="http://schemas.openxmlformats.org/drawingml/2006/main">
            <a:ext uri="{FF2B5EF4-FFF2-40B4-BE49-F238E27FC236}">
              <a16:creationId xmlns:a16="http://schemas.microsoft.com/office/drawing/2014/main" id="{38320C4F-4D78-1A42-8593-F17807B248DE}"/>
            </a:ext>
          </a:extLst>
        </cdr:cNvPr>
        <cdr:cNvSpPr txBox="1"/>
      </cdr:nvSpPr>
      <cdr:spPr>
        <a:xfrm xmlns:a="http://schemas.openxmlformats.org/drawingml/2006/main">
          <a:off x="6380904" y="2980076"/>
          <a:ext cx="1598662" cy="486000"/>
        </a:xfrm>
        <a:prstGeom xmlns:a="http://schemas.openxmlformats.org/drawingml/2006/main" prst="rect">
          <a:avLst/>
        </a:prstGeom>
        <a:ln xmlns:a="http://schemas.openxmlformats.org/drawingml/2006/main" w="9525">
          <a:noFill/>
        </a:ln>
      </cdr:spPr>
      <cdr:txBody>
        <a:bodyPr xmlns:a="http://schemas.openxmlformats.org/drawingml/2006/main" wrap="square" lIns="36000" tIns="108000" rIns="36000" bIns="36000" rtlCol="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Composites</a:t>
          </a:r>
        </a:p>
      </cdr:txBody>
    </cdr:sp>
  </cdr:relSizeAnchor>
  <cdr:relSizeAnchor xmlns:cdr="http://schemas.openxmlformats.org/drawingml/2006/chartDrawing">
    <cdr:from>
      <cdr:x>0.07383</cdr:x>
      <cdr:y>0.77254</cdr:y>
    </cdr:from>
    <cdr:to>
      <cdr:x>0.11161</cdr:x>
      <cdr:y>0.83893</cdr:y>
    </cdr:to>
    <cdr:sp macro="" textlink="">
      <cdr:nvSpPr>
        <cdr:cNvPr id="9" name="TextBox 1">
          <a:extLst xmlns:a="http://schemas.openxmlformats.org/drawingml/2006/main">
            <a:ext uri="{FF2B5EF4-FFF2-40B4-BE49-F238E27FC236}">
              <a16:creationId xmlns:a16="http://schemas.microsoft.com/office/drawing/2014/main" id="{C9D81E97-7004-F344-867B-FF79354E3E61}"/>
            </a:ext>
          </a:extLst>
        </cdr:cNvPr>
        <cdr:cNvSpPr txBox="1"/>
      </cdr:nvSpPr>
      <cdr:spPr>
        <a:xfrm xmlns:a="http://schemas.openxmlformats.org/drawingml/2006/main">
          <a:off x="600505" y="2744989"/>
          <a:ext cx="307288" cy="235897"/>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Low</a:t>
          </a:r>
        </a:p>
      </cdr:txBody>
    </cdr:sp>
  </cdr:relSizeAnchor>
  <cdr:relSizeAnchor xmlns:cdr="http://schemas.openxmlformats.org/drawingml/2006/chartDrawing">
    <cdr:from>
      <cdr:x>0.07383</cdr:x>
      <cdr:y>0.1203</cdr:y>
    </cdr:from>
    <cdr:to>
      <cdr:x>0.11484</cdr:x>
      <cdr:y>0.18668</cdr:y>
    </cdr:to>
    <cdr:sp macro="" textlink="">
      <cdr:nvSpPr>
        <cdr:cNvPr id="10" name="TextBox 2">
          <a:extLst xmlns:a="http://schemas.openxmlformats.org/drawingml/2006/main">
            <a:ext uri="{FF2B5EF4-FFF2-40B4-BE49-F238E27FC236}">
              <a16:creationId xmlns:a16="http://schemas.microsoft.com/office/drawing/2014/main" id="{E6925C8E-34C2-B645-A1AD-5BB102E0A2C4}"/>
            </a:ext>
          </a:extLst>
        </cdr:cNvPr>
        <cdr:cNvSpPr txBox="1"/>
      </cdr:nvSpPr>
      <cdr:spPr>
        <a:xfrm xmlns:a="http://schemas.openxmlformats.org/drawingml/2006/main">
          <a:off x="600505" y="427450"/>
          <a:ext cx="333560" cy="235861"/>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High</a:t>
          </a:r>
        </a:p>
      </cdr:txBody>
    </cdr:sp>
  </cdr:relSizeAnchor>
</c:userShapes>
</file>

<file path=xl/drawings/drawing8.xml><?xml version="1.0" encoding="utf-8"?>
<c:userShapes xmlns:c="http://schemas.openxmlformats.org/drawingml/2006/chart">
  <cdr:relSizeAnchor xmlns:cdr="http://schemas.openxmlformats.org/drawingml/2006/chartDrawing">
    <cdr:from>
      <cdr:x>0.0829</cdr:x>
      <cdr:y>0.83874</cdr:y>
    </cdr:from>
    <cdr:to>
      <cdr:x>0.53126</cdr:x>
      <cdr:y>0.97427</cdr:y>
    </cdr:to>
    <cdr:sp macro="" textlink="">
      <cdr:nvSpPr>
        <cdr:cNvPr id="5" name="TextBox 4">
          <a:extLst xmlns:a="http://schemas.openxmlformats.org/drawingml/2006/main">
            <a:ext uri="{FF2B5EF4-FFF2-40B4-BE49-F238E27FC236}">
              <a16:creationId xmlns:a16="http://schemas.microsoft.com/office/drawing/2014/main" id="{EC7F6CCA-7A7D-7842-9368-22D923C91FC5}"/>
            </a:ext>
          </a:extLst>
        </cdr:cNvPr>
        <cdr:cNvSpPr txBox="1"/>
      </cdr:nvSpPr>
      <cdr:spPr>
        <a:xfrm xmlns:a="http://schemas.openxmlformats.org/drawingml/2006/main">
          <a:off x="674277" y="2980211"/>
          <a:ext cx="3646788" cy="481565"/>
        </a:xfrm>
        <a:prstGeom xmlns:a="http://schemas.openxmlformats.org/drawingml/2006/main" prst="rect">
          <a:avLst/>
        </a:prstGeom>
        <a:ln xmlns:a="http://schemas.openxmlformats.org/drawingml/2006/main" w="9525">
          <a:noFill/>
        </a:ln>
      </cdr:spPr>
      <cdr:txBody>
        <a:bodyPr xmlns:a="http://schemas.openxmlformats.org/drawingml/2006/main" vertOverflow="clip" horzOverflow="clip" wrap="square" lIns="36000" tIns="108000" rIns="36000" bIns="36000" rtlCol="0">
          <a:spAutoFit/>
        </a:bodyPr>
        <a:lstStyle xmlns:a="http://schemas.openxmlformats.org/drawingml/2006/main"/>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Subscales</a:t>
          </a:r>
        </a:p>
      </cdr:txBody>
    </cdr:sp>
  </cdr:relSizeAnchor>
  <cdr:relSizeAnchor xmlns:cdr="http://schemas.openxmlformats.org/drawingml/2006/chartDrawing">
    <cdr:from>
      <cdr:x>0.64206</cdr:x>
      <cdr:y>0.83874</cdr:y>
    </cdr:from>
    <cdr:to>
      <cdr:x>0.98072</cdr:x>
      <cdr:y>0.97427</cdr:y>
    </cdr:to>
    <cdr:sp macro="" textlink="">
      <cdr:nvSpPr>
        <cdr:cNvPr id="12" name="TextBox 1">
          <a:extLst xmlns:a="http://schemas.openxmlformats.org/drawingml/2006/main">
            <a:ext uri="{FF2B5EF4-FFF2-40B4-BE49-F238E27FC236}">
              <a16:creationId xmlns:a16="http://schemas.microsoft.com/office/drawing/2014/main" id="{38320C4F-4D78-1A42-8593-F17807B248DE}"/>
            </a:ext>
          </a:extLst>
        </cdr:cNvPr>
        <cdr:cNvSpPr txBox="1"/>
      </cdr:nvSpPr>
      <cdr:spPr>
        <a:xfrm xmlns:a="http://schemas.openxmlformats.org/drawingml/2006/main">
          <a:off x="5222270" y="2980210"/>
          <a:ext cx="2754531" cy="481566"/>
        </a:xfrm>
        <a:prstGeom xmlns:a="http://schemas.openxmlformats.org/drawingml/2006/main" prst="rect">
          <a:avLst/>
        </a:prstGeom>
        <a:ln xmlns:a="http://schemas.openxmlformats.org/drawingml/2006/main" w="9525">
          <a:noFill/>
        </a:ln>
      </cdr:spPr>
      <cdr:txBody>
        <a:bodyPr xmlns:a="http://schemas.openxmlformats.org/drawingml/2006/main" wrap="square" lIns="36000" tIns="108000" rIns="36000" bIns="36000"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Composites</a:t>
          </a:r>
        </a:p>
      </cdr:txBody>
    </cdr:sp>
  </cdr:relSizeAnchor>
  <cdr:relSizeAnchor xmlns:cdr="http://schemas.openxmlformats.org/drawingml/2006/chartDrawing">
    <cdr:from>
      <cdr:x>0.0747</cdr:x>
      <cdr:y>0.7738</cdr:y>
    </cdr:from>
    <cdr:to>
      <cdr:x>0.11248</cdr:x>
      <cdr:y>0.84025</cdr:y>
    </cdr:to>
    <cdr:sp macro="" textlink="">
      <cdr:nvSpPr>
        <cdr:cNvPr id="6" name="TextBox 1">
          <a:extLst xmlns:a="http://schemas.openxmlformats.org/drawingml/2006/main">
            <a:ext uri="{FF2B5EF4-FFF2-40B4-BE49-F238E27FC236}">
              <a16:creationId xmlns:a16="http://schemas.microsoft.com/office/drawing/2014/main" id="{C9D81E97-7004-F344-867B-FF79354E3E61}"/>
            </a:ext>
          </a:extLst>
        </cdr:cNvPr>
        <cdr:cNvSpPr txBox="1"/>
      </cdr:nvSpPr>
      <cdr:spPr>
        <a:xfrm xmlns:a="http://schemas.openxmlformats.org/drawingml/2006/main">
          <a:off x="607581" y="2749466"/>
          <a:ext cx="307288" cy="23611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Low</a:t>
          </a:r>
        </a:p>
      </cdr:txBody>
    </cdr:sp>
  </cdr:relSizeAnchor>
  <cdr:relSizeAnchor xmlns:cdr="http://schemas.openxmlformats.org/drawingml/2006/chartDrawing">
    <cdr:from>
      <cdr:x>0.0747</cdr:x>
      <cdr:y>0.12155</cdr:y>
    </cdr:from>
    <cdr:to>
      <cdr:x>0.11571</cdr:x>
      <cdr:y>0.188</cdr:y>
    </cdr:to>
    <cdr:sp macro="" textlink="">
      <cdr:nvSpPr>
        <cdr:cNvPr id="7" name="TextBox 2">
          <a:extLst xmlns:a="http://schemas.openxmlformats.org/drawingml/2006/main">
            <a:ext uri="{FF2B5EF4-FFF2-40B4-BE49-F238E27FC236}">
              <a16:creationId xmlns:a16="http://schemas.microsoft.com/office/drawing/2014/main" id="{E6925C8E-34C2-B645-A1AD-5BB102E0A2C4}"/>
            </a:ext>
          </a:extLst>
        </cdr:cNvPr>
        <cdr:cNvSpPr txBox="1"/>
      </cdr:nvSpPr>
      <cdr:spPr>
        <a:xfrm xmlns:a="http://schemas.openxmlformats.org/drawingml/2006/main">
          <a:off x="607581" y="431891"/>
          <a:ext cx="333560" cy="236111"/>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High</a:t>
          </a:r>
        </a:p>
      </cdr:txBody>
    </cdr:sp>
  </cdr:relSizeAnchor>
</c:userShapes>
</file>

<file path=xl/drawings/drawing9.xml><?xml version="1.0" encoding="utf-8"?>
<c:userShapes xmlns:c="http://schemas.openxmlformats.org/drawingml/2006/chart">
  <cdr:relSizeAnchor xmlns:cdr="http://schemas.openxmlformats.org/drawingml/2006/chartDrawing">
    <cdr:from>
      <cdr:x>0.07168</cdr:x>
      <cdr:y>0.83874</cdr:y>
    </cdr:from>
    <cdr:to>
      <cdr:x>0.98319</cdr:x>
      <cdr:y>0.97427</cdr:y>
    </cdr:to>
    <cdr:sp macro="" textlink="">
      <cdr:nvSpPr>
        <cdr:cNvPr id="5" name="TextBox 4">
          <a:extLst xmlns:a="http://schemas.openxmlformats.org/drawingml/2006/main">
            <a:ext uri="{FF2B5EF4-FFF2-40B4-BE49-F238E27FC236}">
              <a16:creationId xmlns:a16="http://schemas.microsoft.com/office/drawing/2014/main" id="{EC7F6CCA-7A7D-7842-9368-22D923C91FC5}"/>
            </a:ext>
          </a:extLst>
        </cdr:cNvPr>
        <cdr:cNvSpPr txBox="1"/>
      </cdr:nvSpPr>
      <cdr:spPr>
        <a:xfrm xmlns:a="http://schemas.openxmlformats.org/drawingml/2006/main">
          <a:off x="586154" y="2932032"/>
          <a:ext cx="7453923" cy="473780"/>
        </a:xfrm>
        <a:prstGeom xmlns:a="http://schemas.openxmlformats.org/drawingml/2006/main" prst="rect">
          <a:avLst/>
        </a:prstGeom>
        <a:ln xmlns:a="http://schemas.openxmlformats.org/drawingml/2006/main" w="9525">
          <a:noFill/>
        </a:ln>
      </cdr:spPr>
      <cdr:txBody>
        <a:bodyPr xmlns:a="http://schemas.openxmlformats.org/drawingml/2006/main" vertOverflow="clip" horzOverflow="clip" wrap="square" lIns="36000" tIns="108000" rIns="36000" bIns="36000" rtlCol="0">
          <a:spAutoFit/>
        </a:bodyPr>
        <a:lstStyle xmlns:a="http://schemas.openxmlformats.org/drawingml/2006/main"/>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Subscales</a:t>
          </a:r>
        </a:p>
      </cdr:txBody>
    </cdr:sp>
  </cdr:relSizeAnchor>
  <cdr:relSizeAnchor xmlns:cdr="http://schemas.openxmlformats.org/drawingml/2006/chartDrawing">
    <cdr:from>
      <cdr:x>0.0747</cdr:x>
      <cdr:y>0.7738</cdr:y>
    </cdr:from>
    <cdr:to>
      <cdr:x>0.11248</cdr:x>
      <cdr:y>0.84025</cdr:y>
    </cdr:to>
    <cdr:sp macro="" textlink="">
      <cdr:nvSpPr>
        <cdr:cNvPr id="6" name="TextBox 1">
          <a:extLst xmlns:a="http://schemas.openxmlformats.org/drawingml/2006/main">
            <a:ext uri="{FF2B5EF4-FFF2-40B4-BE49-F238E27FC236}">
              <a16:creationId xmlns:a16="http://schemas.microsoft.com/office/drawing/2014/main" id="{C9D81E97-7004-F344-867B-FF79354E3E61}"/>
            </a:ext>
          </a:extLst>
        </cdr:cNvPr>
        <cdr:cNvSpPr txBox="1"/>
      </cdr:nvSpPr>
      <cdr:spPr>
        <a:xfrm xmlns:a="http://schemas.openxmlformats.org/drawingml/2006/main">
          <a:off x="607581" y="2749466"/>
          <a:ext cx="307288" cy="23611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Low</a:t>
          </a:r>
        </a:p>
      </cdr:txBody>
    </cdr:sp>
  </cdr:relSizeAnchor>
  <cdr:relSizeAnchor xmlns:cdr="http://schemas.openxmlformats.org/drawingml/2006/chartDrawing">
    <cdr:from>
      <cdr:x>0.0747</cdr:x>
      <cdr:y>0.12155</cdr:y>
    </cdr:from>
    <cdr:to>
      <cdr:x>0.11571</cdr:x>
      <cdr:y>0.188</cdr:y>
    </cdr:to>
    <cdr:sp macro="" textlink="">
      <cdr:nvSpPr>
        <cdr:cNvPr id="7" name="TextBox 2">
          <a:extLst xmlns:a="http://schemas.openxmlformats.org/drawingml/2006/main">
            <a:ext uri="{FF2B5EF4-FFF2-40B4-BE49-F238E27FC236}">
              <a16:creationId xmlns:a16="http://schemas.microsoft.com/office/drawing/2014/main" id="{E6925C8E-34C2-B645-A1AD-5BB102E0A2C4}"/>
            </a:ext>
          </a:extLst>
        </cdr:cNvPr>
        <cdr:cNvSpPr txBox="1"/>
      </cdr:nvSpPr>
      <cdr:spPr>
        <a:xfrm xmlns:a="http://schemas.openxmlformats.org/drawingml/2006/main">
          <a:off x="607581" y="431891"/>
          <a:ext cx="333560" cy="236111"/>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High</a:t>
          </a:r>
        </a:p>
      </cdr:txBody>
    </cdr:sp>
  </cdr:relSizeAnchor>
</c:userShapes>
</file>

<file path=xl/drawings/drawing10.xml><?xml version="1.0" encoding="utf-8"?>
<c:userShapes xmlns:c="http://schemas.openxmlformats.org/drawingml/2006/chart">
  <cdr:relSizeAnchor xmlns:cdr="http://schemas.openxmlformats.org/drawingml/2006/chartDrawing">
    <cdr:from>
      <cdr:x>0.07168</cdr:x>
      <cdr:y>0.83874</cdr:y>
    </cdr:from>
    <cdr:to>
      <cdr:x>0.98319</cdr:x>
      <cdr:y>0.97427</cdr:y>
    </cdr:to>
    <cdr:sp macro="" textlink="">
      <cdr:nvSpPr>
        <cdr:cNvPr id="5" name="TextBox 4">
          <a:extLst xmlns:a="http://schemas.openxmlformats.org/drawingml/2006/main">
            <a:ext uri="{FF2B5EF4-FFF2-40B4-BE49-F238E27FC236}">
              <a16:creationId xmlns:a16="http://schemas.microsoft.com/office/drawing/2014/main" id="{EC7F6CCA-7A7D-7842-9368-22D923C91FC5}"/>
            </a:ext>
          </a:extLst>
        </cdr:cNvPr>
        <cdr:cNvSpPr txBox="1"/>
      </cdr:nvSpPr>
      <cdr:spPr>
        <a:xfrm xmlns:a="http://schemas.openxmlformats.org/drawingml/2006/main">
          <a:off x="586154" y="2932032"/>
          <a:ext cx="7453923" cy="473780"/>
        </a:xfrm>
        <a:prstGeom xmlns:a="http://schemas.openxmlformats.org/drawingml/2006/main" prst="rect">
          <a:avLst/>
        </a:prstGeom>
        <a:ln xmlns:a="http://schemas.openxmlformats.org/drawingml/2006/main" w="9525">
          <a:noFill/>
        </a:ln>
      </cdr:spPr>
      <cdr:txBody>
        <a:bodyPr xmlns:a="http://schemas.openxmlformats.org/drawingml/2006/main" vertOverflow="clip" horzOverflow="clip" wrap="square" lIns="36000" tIns="108000" rIns="36000" bIns="36000" rtlCol="0">
          <a:spAutoFit/>
        </a:bodyPr>
        <a:lstStyle xmlns:a="http://schemas.openxmlformats.org/drawingml/2006/main"/>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Subscales</a:t>
          </a:r>
        </a:p>
      </cdr:txBody>
    </cdr:sp>
  </cdr:relSizeAnchor>
  <cdr:relSizeAnchor xmlns:cdr="http://schemas.openxmlformats.org/drawingml/2006/chartDrawing">
    <cdr:from>
      <cdr:x>0.07626</cdr:x>
      <cdr:y>0.5086</cdr:y>
    </cdr:from>
    <cdr:to>
      <cdr:x>0.15572</cdr:x>
      <cdr:y>0.57504</cdr:y>
    </cdr:to>
    <cdr:sp macro="" textlink="">
      <cdr:nvSpPr>
        <cdr:cNvPr id="6" name="TextBox 1">
          <a:extLst xmlns:a="http://schemas.openxmlformats.org/drawingml/2006/main">
            <a:ext uri="{FF2B5EF4-FFF2-40B4-BE49-F238E27FC236}">
              <a16:creationId xmlns:a16="http://schemas.microsoft.com/office/drawing/2014/main" id="{C9D81E97-7004-F344-867B-FF79354E3E61}"/>
            </a:ext>
          </a:extLst>
        </cdr:cNvPr>
        <cdr:cNvSpPr txBox="1"/>
      </cdr:nvSpPr>
      <cdr:spPr>
        <a:xfrm xmlns:a="http://schemas.openxmlformats.org/drawingml/2006/main">
          <a:off x="620270" y="1874823"/>
          <a:ext cx="646258" cy="24493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Moderate</a:t>
          </a:r>
        </a:p>
      </cdr:txBody>
    </cdr:sp>
  </cdr:relSizeAnchor>
  <cdr:relSizeAnchor xmlns:cdr="http://schemas.openxmlformats.org/drawingml/2006/chartDrawing">
    <cdr:from>
      <cdr:x>0.07938</cdr:x>
      <cdr:y>0.13245</cdr:y>
    </cdr:from>
    <cdr:to>
      <cdr:x>0.20958</cdr:x>
      <cdr:y>0.1989</cdr:y>
    </cdr:to>
    <cdr:sp macro="" textlink="">
      <cdr:nvSpPr>
        <cdr:cNvPr id="7" name="TextBox 2">
          <a:extLst xmlns:a="http://schemas.openxmlformats.org/drawingml/2006/main">
            <a:ext uri="{FF2B5EF4-FFF2-40B4-BE49-F238E27FC236}">
              <a16:creationId xmlns:a16="http://schemas.microsoft.com/office/drawing/2014/main" id="{E6925C8E-34C2-B645-A1AD-5BB102E0A2C4}"/>
            </a:ext>
          </a:extLst>
        </cdr:cNvPr>
        <cdr:cNvSpPr txBox="1"/>
      </cdr:nvSpPr>
      <cdr:spPr>
        <a:xfrm xmlns:a="http://schemas.openxmlformats.org/drawingml/2006/main">
          <a:off x="645647" y="488256"/>
          <a:ext cx="1058999" cy="24493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tx1"/>
              </a:solidFill>
            </a:rPr>
            <a:t>Extremely severe</a:t>
          </a:r>
        </a:p>
      </cdr:txBody>
    </cdr:sp>
  </cdr:relSizeAnchor>
  <cdr:relSizeAnchor xmlns:cdr="http://schemas.openxmlformats.org/drawingml/2006/chartDrawing">
    <cdr:from>
      <cdr:x>0.07963</cdr:x>
      <cdr:y>0.4087</cdr:y>
    </cdr:from>
    <cdr:to>
      <cdr:x>0.13632</cdr:x>
      <cdr:y>0.47515</cdr:y>
    </cdr:to>
    <cdr:sp macro="" textlink="">
      <cdr:nvSpPr>
        <cdr:cNvPr id="8" name="TextBox 2">
          <a:extLst xmlns:a="http://schemas.openxmlformats.org/drawingml/2006/main">
            <a:ext uri="{FF2B5EF4-FFF2-40B4-BE49-F238E27FC236}">
              <a16:creationId xmlns:a16="http://schemas.microsoft.com/office/drawing/2014/main" id="{CC13780D-6A98-094C-8999-20D30B48FC09}"/>
            </a:ext>
          </a:extLst>
        </cdr:cNvPr>
        <cdr:cNvSpPr txBox="1"/>
      </cdr:nvSpPr>
      <cdr:spPr>
        <a:xfrm xmlns:a="http://schemas.openxmlformats.org/drawingml/2006/main">
          <a:off x="647680" y="1506585"/>
          <a:ext cx="461079" cy="24493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5">
                  <a:lumMod val="50000"/>
                </a:schemeClr>
              </a:solidFill>
            </a:rPr>
            <a:t>Severe</a:t>
          </a:r>
        </a:p>
      </cdr:txBody>
    </cdr:sp>
  </cdr:relSizeAnchor>
  <cdr:relSizeAnchor xmlns:cdr="http://schemas.openxmlformats.org/drawingml/2006/chartDrawing">
    <cdr:from>
      <cdr:x>0.07651</cdr:x>
      <cdr:y>0.64409</cdr:y>
    </cdr:from>
    <cdr:to>
      <cdr:x>0.11735</cdr:x>
      <cdr:y>0.71054</cdr:y>
    </cdr:to>
    <cdr:sp macro="" textlink="">
      <cdr:nvSpPr>
        <cdr:cNvPr id="9" name="TextBox 2">
          <a:extLst xmlns:a="http://schemas.openxmlformats.org/drawingml/2006/main">
            <a:ext uri="{FF2B5EF4-FFF2-40B4-BE49-F238E27FC236}">
              <a16:creationId xmlns:a16="http://schemas.microsoft.com/office/drawing/2014/main" id="{CC13780D-6A98-094C-8999-20D30B48FC09}"/>
            </a:ext>
          </a:extLst>
        </cdr:cNvPr>
        <cdr:cNvSpPr txBox="1"/>
      </cdr:nvSpPr>
      <cdr:spPr>
        <a:xfrm xmlns:a="http://schemas.openxmlformats.org/drawingml/2006/main">
          <a:off x="622291" y="2374296"/>
          <a:ext cx="332198" cy="24493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3">
                  <a:lumMod val="50000"/>
                </a:schemeClr>
              </a:solidFill>
            </a:rPr>
            <a:t>Mild</a:t>
          </a:r>
        </a:p>
      </cdr:txBody>
    </cdr:sp>
  </cdr:relSizeAnchor>
  <cdr:relSizeAnchor xmlns:cdr="http://schemas.openxmlformats.org/drawingml/2006/chartDrawing">
    <cdr:from>
      <cdr:x>0.07651</cdr:x>
      <cdr:y>0.69571</cdr:y>
    </cdr:from>
    <cdr:to>
      <cdr:x>0.13798</cdr:x>
      <cdr:y>0.76215</cdr:y>
    </cdr:to>
    <cdr:sp macro="" textlink="">
      <cdr:nvSpPr>
        <cdr:cNvPr id="10" name="TextBox 2">
          <a:extLst xmlns:a="http://schemas.openxmlformats.org/drawingml/2006/main">
            <a:ext uri="{FF2B5EF4-FFF2-40B4-BE49-F238E27FC236}">
              <a16:creationId xmlns:a16="http://schemas.microsoft.com/office/drawing/2014/main" id="{14ABEA09-E4FC-5E4E-8517-C556F2A85949}"/>
            </a:ext>
          </a:extLst>
        </cdr:cNvPr>
        <cdr:cNvSpPr txBox="1"/>
      </cdr:nvSpPr>
      <cdr:spPr>
        <a:xfrm xmlns:a="http://schemas.openxmlformats.org/drawingml/2006/main">
          <a:off x="622303" y="2564559"/>
          <a:ext cx="499936" cy="24493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bg1">
                  <a:lumMod val="50000"/>
                </a:schemeClr>
              </a:solidFill>
            </a:rPr>
            <a:t>Normal</a:t>
          </a:r>
        </a:p>
      </cdr:txBody>
    </cdr:sp>
  </cdr:relSizeAnchor>
</c:userShapes>
</file>

<file path=xl/drawings/drawing11.xml><?xml version="1.0" encoding="utf-8"?>
<c:userShapes xmlns:c="http://schemas.openxmlformats.org/drawingml/2006/chart">
  <cdr:relSizeAnchor xmlns:cdr="http://schemas.openxmlformats.org/drawingml/2006/chartDrawing">
    <cdr:from>
      <cdr:x>0.07168</cdr:x>
      <cdr:y>0.83874</cdr:y>
    </cdr:from>
    <cdr:to>
      <cdr:x>0.98319</cdr:x>
      <cdr:y>0.97427</cdr:y>
    </cdr:to>
    <cdr:sp macro="" textlink="">
      <cdr:nvSpPr>
        <cdr:cNvPr id="5" name="TextBox 4">
          <a:extLst xmlns:a="http://schemas.openxmlformats.org/drawingml/2006/main">
            <a:ext uri="{FF2B5EF4-FFF2-40B4-BE49-F238E27FC236}">
              <a16:creationId xmlns:a16="http://schemas.microsoft.com/office/drawing/2014/main" id="{EC7F6CCA-7A7D-7842-9368-22D923C91FC5}"/>
            </a:ext>
          </a:extLst>
        </cdr:cNvPr>
        <cdr:cNvSpPr txBox="1"/>
      </cdr:nvSpPr>
      <cdr:spPr>
        <a:xfrm xmlns:a="http://schemas.openxmlformats.org/drawingml/2006/main">
          <a:off x="586154" y="2932032"/>
          <a:ext cx="7453923" cy="473780"/>
        </a:xfrm>
        <a:prstGeom xmlns:a="http://schemas.openxmlformats.org/drawingml/2006/main" prst="rect">
          <a:avLst/>
        </a:prstGeom>
        <a:ln xmlns:a="http://schemas.openxmlformats.org/drawingml/2006/main" w="9525">
          <a:noFill/>
        </a:ln>
      </cdr:spPr>
      <cdr:txBody>
        <a:bodyPr xmlns:a="http://schemas.openxmlformats.org/drawingml/2006/main" vertOverflow="clip" horzOverflow="clip" wrap="square" lIns="36000" tIns="108000" rIns="36000" bIns="36000" rtlCol="0">
          <a:spAutoFit/>
        </a:bodyPr>
        <a:lstStyle xmlns:a="http://schemas.openxmlformats.org/drawingml/2006/main"/>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Subscales</a:t>
          </a:r>
        </a:p>
      </cdr:txBody>
    </cdr:sp>
  </cdr:relSizeAnchor>
  <cdr:relSizeAnchor xmlns:cdr="http://schemas.openxmlformats.org/drawingml/2006/chartDrawing">
    <cdr:from>
      <cdr:x>0.06845</cdr:x>
      <cdr:y>0.30449</cdr:y>
    </cdr:from>
    <cdr:to>
      <cdr:x>0.10929</cdr:x>
      <cdr:y>0.36631</cdr:y>
    </cdr:to>
    <cdr:sp macro="" textlink="">
      <cdr:nvSpPr>
        <cdr:cNvPr id="6" name="TextBox 1">
          <a:extLst xmlns:a="http://schemas.openxmlformats.org/drawingml/2006/main">
            <a:ext uri="{FF2B5EF4-FFF2-40B4-BE49-F238E27FC236}">
              <a16:creationId xmlns:a16="http://schemas.microsoft.com/office/drawing/2014/main" id="{C9D81E97-7004-F344-867B-FF79354E3E61}"/>
            </a:ext>
          </a:extLst>
        </cdr:cNvPr>
        <cdr:cNvSpPr txBox="1"/>
      </cdr:nvSpPr>
      <cdr:spPr>
        <a:xfrm xmlns:a="http://schemas.openxmlformats.org/drawingml/2006/main">
          <a:off x="556746" y="1235376"/>
          <a:ext cx="332177" cy="250816"/>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Mild</a:t>
          </a:r>
        </a:p>
      </cdr:txBody>
    </cdr:sp>
  </cdr:relSizeAnchor>
  <cdr:relSizeAnchor xmlns:cdr="http://schemas.openxmlformats.org/drawingml/2006/chartDrawing">
    <cdr:from>
      <cdr:x>0.06845</cdr:x>
      <cdr:y>0.10777</cdr:y>
    </cdr:from>
    <cdr:to>
      <cdr:x>0.12514</cdr:x>
      <cdr:y>0.16958</cdr:y>
    </cdr:to>
    <cdr:sp macro="" textlink="">
      <cdr:nvSpPr>
        <cdr:cNvPr id="7" name="TextBox 2">
          <a:extLst xmlns:a="http://schemas.openxmlformats.org/drawingml/2006/main">
            <a:ext uri="{FF2B5EF4-FFF2-40B4-BE49-F238E27FC236}">
              <a16:creationId xmlns:a16="http://schemas.microsoft.com/office/drawing/2014/main" id="{E6925C8E-34C2-B645-A1AD-5BB102E0A2C4}"/>
            </a:ext>
          </a:extLst>
        </cdr:cNvPr>
        <cdr:cNvSpPr txBox="1"/>
      </cdr:nvSpPr>
      <cdr:spPr>
        <a:xfrm xmlns:a="http://schemas.openxmlformats.org/drawingml/2006/main">
          <a:off x="556746" y="437245"/>
          <a:ext cx="461095" cy="250776"/>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tx1"/>
              </a:solidFill>
            </a:rPr>
            <a:t>Severe</a:t>
          </a:r>
        </a:p>
      </cdr:txBody>
    </cdr:sp>
  </cdr:relSizeAnchor>
  <cdr:relSizeAnchor xmlns:cdr="http://schemas.openxmlformats.org/drawingml/2006/chartDrawing">
    <cdr:from>
      <cdr:x>0.06845</cdr:x>
      <cdr:y>0.18998</cdr:y>
    </cdr:from>
    <cdr:to>
      <cdr:x>0.14791</cdr:x>
      <cdr:y>0.2518</cdr:y>
    </cdr:to>
    <cdr:sp macro="" textlink="">
      <cdr:nvSpPr>
        <cdr:cNvPr id="8" name="TextBox 2">
          <a:extLst xmlns:a="http://schemas.openxmlformats.org/drawingml/2006/main">
            <a:ext uri="{FF2B5EF4-FFF2-40B4-BE49-F238E27FC236}">
              <a16:creationId xmlns:a16="http://schemas.microsoft.com/office/drawing/2014/main" id="{CC13780D-6A98-094C-8999-20D30B48FC09}"/>
            </a:ext>
          </a:extLst>
        </cdr:cNvPr>
        <cdr:cNvSpPr txBox="1"/>
      </cdr:nvSpPr>
      <cdr:spPr>
        <a:xfrm xmlns:a="http://schemas.openxmlformats.org/drawingml/2006/main">
          <a:off x="556746" y="770781"/>
          <a:ext cx="646297" cy="250816"/>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5">
                  <a:lumMod val="50000"/>
                </a:schemeClr>
              </a:solidFill>
            </a:rPr>
            <a:t>Moderate</a:t>
          </a:r>
        </a:p>
      </cdr:txBody>
    </cdr:sp>
  </cdr:relSizeAnchor>
  <cdr:relSizeAnchor xmlns:cdr="http://schemas.openxmlformats.org/drawingml/2006/chartDrawing">
    <cdr:from>
      <cdr:x>0.06845</cdr:x>
      <cdr:y>0.41632</cdr:y>
    </cdr:from>
    <cdr:to>
      <cdr:x>0.11641</cdr:x>
      <cdr:y>0.47814</cdr:y>
    </cdr:to>
    <cdr:sp macro="" textlink="">
      <cdr:nvSpPr>
        <cdr:cNvPr id="9" name="TextBox 2">
          <a:extLst xmlns:a="http://schemas.openxmlformats.org/drawingml/2006/main">
            <a:ext uri="{FF2B5EF4-FFF2-40B4-BE49-F238E27FC236}">
              <a16:creationId xmlns:a16="http://schemas.microsoft.com/office/drawing/2014/main" id="{CC13780D-6A98-094C-8999-20D30B48FC09}"/>
            </a:ext>
          </a:extLst>
        </cdr:cNvPr>
        <cdr:cNvSpPr txBox="1"/>
      </cdr:nvSpPr>
      <cdr:spPr>
        <a:xfrm xmlns:a="http://schemas.openxmlformats.org/drawingml/2006/main">
          <a:off x="556746" y="1689098"/>
          <a:ext cx="390088" cy="250816"/>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3">
                  <a:lumMod val="50000"/>
                </a:schemeClr>
              </a:solidFill>
            </a:rPr>
            <a:t>Slight</a:t>
          </a:r>
        </a:p>
      </cdr:txBody>
    </cdr:sp>
  </cdr:relSizeAnchor>
  <cdr:relSizeAnchor xmlns:cdr="http://schemas.openxmlformats.org/drawingml/2006/chartDrawing">
    <cdr:from>
      <cdr:x>0.06845</cdr:x>
      <cdr:y>0.50107</cdr:y>
    </cdr:from>
    <cdr:to>
      <cdr:x>0.11548</cdr:x>
      <cdr:y>0.56289</cdr:y>
    </cdr:to>
    <cdr:sp macro="" textlink="">
      <cdr:nvSpPr>
        <cdr:cNvPr id="10" name="TextBox 2">
          <a:extLst xmlns:a="http://schemas.openxmlformats.org/drawingml/2006/main">
            <a:ext uri="{FF2B5EF4-FFF2-40B4-BE49-F238E27FC236}">
              <a16:creationId xmlns:a16="http://schemas.microsoft.com/office/drawing/2014/main" id="{D2CED3A5-2A6A-CB40-BE57-8AD1D52161EA}"/>
            </a:ext>
          </a:extLst>
        </cdr:cNvPr>
        <cdr:cNvSpPr txBox="1"/>
      </cdr:nvSpPr>
      <cdr:spPr>
        <a:xfrm xmlns:a="http://schemas.openxmlformats.org/drawingml/2006/main">
          <a:off x="556746" y="2032945"/>
          <a:ext cx="382524" cy="250816"/>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bg1">
                  <a:lumMod val="50000"/>
                </a:schemeClr>
              </a:solidFill>
            </a:rPr>
            <a:t>None</a:t>
          </a:r>
        </a:p>
      </cdr:txBody>
    </cdr:sp>
  </cdr:relSizeAnchor>
  <cdr:relSizeAnchor xmlns:cdr="http://schemas.openxmlformats.org/drawingml/2006/chartDrawing">
    <cdr:from>
      <cdr:x>0.07168</cdr:x>
      <cdr:y>0.83874</cdr:y>
    </cdr:from>
    <cdr:to>
      <cdr:x>0.98319</cdr:x>
      <cdr:y>0.97427</cdr:y>
    </cdr:to>
    <cdr:sp macro="" textlink="">
      <cdr:nvSpPr>
        <cdr:cNvPr id="2" name="TextBox 4">
          <a:extLst xmlns:a="http://schemas.openxmlformats.org/drawingml/2006/main">
            <a:ext uri="{FF2B5EF4-FFF2-40B4-BE49-F238E27FC236}">
              <a16:creationId xmlns:a16="http://schemas.microsoft.com/office/drawing/2014/main" id="{EC7F6CCA-7A7D-7842-9368-22D923C91FC5}"/>
            </a:ext>
          </a:extLst>
        </cdr:cNvPr>
        <cdr:cNvSpPr txBox="1"/>
      </cdr:nvSpPr>
      <cdr:spPr>
        <a:xfrm xmlns:a="http://schemas.openxmlformats.org/drawingml/2006/main">
          <a:off x="586154" y="2932032"/>
          <a:ext cx="7453923" cy="473780"/>
        </a:xfrm>
        <a:prstGeom xmlns:a="http://schemas.openxmlformats.org/drawingml/2006/main" prst="rect">
          <a:avLst/>
        </a:prstGeom>
        <a:ln xmlns:a="http://schemas.openxmlformats.org/drawingml/2006/main" w="9525">
          <a:noFill/>
        </a:ln>
      </cdr:spPr>
      <cdr:txBody>
        <a:bodyPr xmlns:a="http://schemas.openxmlformats.org/drawingml/2006/main" vertOverflow="clip" horzOverflow="clip" wrap="square" lIns="36000" tIns="108000" rIns="36000" bIns="36000" rtlCol="0">
          <a:spAutoFit/>
        </a:bodyPr>
        <a:lstStyle xmlns:a="http://schemas.openxmlformats.org/drawingml/2006/main"/>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Subscales</a:t>
          </a:r>
        </a:p>
      </cdr:txBody>
    </cdr:sp>
  </cdr:relSizeAnchor>
</c:userShapes>
</file>

<file path=xl/drawings/drawing12.xml><?xml version="1.0" encoding="utf-8"?>
<c:userShapes xmlns:c="http://schemas.openxmlformats.org/drawingml/2006/chart">
  <cdr:relSizeAnchor xmlns:cdr="http://schemas.openxmlformats.org/drawingml/2006/chartDrawing">
    <cdr:from>
      <cdr:x>0.07938</cdr:x>
      <cdr:y>0.4977</cdr:y>
    </cdr:from>
    <cdr:to>
      <cdr:x>0.12039</cdr:x>
      <cdr:y>0.56414</cdr:y>
    </cdr:to>
    <cdr:sp macro="" textlink="">
      <cdr:nvSpPr>
        <cdr:cNvPr id="6" name="TextBox 1">
          <a:extLst xmlns:a="http://schemas.openxmlformats.org/drawingml/2006/main">
            <a:ext uri="{FF2B5EF4-FFF2-40B4-BE49-F238E27FC236}">
              <a16:creationId xmlns:a16="http://schemas.microsoft.com/office/drawing/2014/main" id="{C9D81E97-7004-F344-867B-FF79354E3E61}"/>
            </a:ext>
          </a:extLst>
        </cdr:cNvPr>
        <cdr:cNvSpPr txBox="1"/>
      </cdr:nvSpPr>
      <cdr:spPr>
        <a:xfrm xmlns:a="http://schemas.openxmlformats.org/drawingml/2006/main">
          <a:off x="645647" y="1768428"/>
          <a:ext cx="333560" cy="236074"/>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5">
                  <a:lumMod val="50000"/>
                </a:schemeClr>
              </a:solidFill>
            </a:rPr>
            <a:t>High</a:t>
          </a:r>
        </a:p>
      </cdr:txBody>
    </cdr:sp>
  </cdr:relSizeAnchor>
  <cdr:relSizeAnchor xmlns:cdr="http://schemas.openxmlformats.org/drawingml/2006/chartDrawing">
    <cdr:from>
      <cdr:x>0.07938</cdr:x>
      <cdr:y>0.13245</cdr:y>
    </cdr:from>
    <cdr:to>
      <cdr:x>0.15668</cdr:x>
      <cdr:y>0.1989</cdr:y>
    </cdr:to>
    <cdr:sp macro="" textlink="">
      <cdr:nvSpPr>
        <cdr:cNvPr id="7" name="TextBox 2">
          <a:extLst xmlns:a="http://schemas.openxmlformats.org/drawingml/2006/main">
            <a:ext uri="{FF2B5EF4-FFF2-40B4-BE49-F238E27FC236}">
              <a16:creationId xmlns:a16="http://schemas.microsoft.com/office/drawing/2014/main" id="{E6925C8E-34C2-B645-A1AD-5BB102E0A2C4}"/>
            </a:ext>
          </a:extLst>
        </cdr:cNvPr>
        <cdr:cNvSpPr txBox="1"/>
      </cdr:nvSpPr>
      <cdr:spPr>
        <a:xfrm xmlns:a="http://schemas.openxmlformats.org/drawingml/2006/main">
          <a:off x="645647" y="470621"/>
          <a:ext cx="628728" cy="23611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tx1"/>
              </a:solidFill>
            </a:rPr>
            <a:t>Very High</a:t>
          </a:r>
        </a:p>
      </cdr:txBody>
    </cdr:sp>
  </cdr:relSizeAnchor>
  <cdr:relSizeAnchor xmlns:cdr="http://schemas.openxmlformats.org/drawingml/2006/chartDrawing">
    <cdr:from>
      <cdr:x>0.07938</cdr:x>
      <cdr:y>0.64103</cdr:y>
    </cdr:from>
    <cdr:to>
      <cdr:x>0.15884</cdr:x>
      <cdr:y>0.70748</cdr:y>
    </cdr:to>
    <cdr:sp macro="" textlink="">
      <cdr:nvSpPr>
        <cdr:cNvPr id="9" name="TextBox 2">
          <a:extLst xmlns:a="http://schemas.openxmlformats.org/drawingml/2006/main">
            <a:ext uri="{FF2B5EF4-FFF2-40B4-BE49-F238E27FC236}">
              <a16:creationId xmlns:a16="http://schemas.microsoft.com/office/drawing/2014/main" id="{CC13780D-6A98-094C-8999-20D30B48FC09}"/>
            </a:ext>
          </a:extLst>
        </cdr:cNvPr>
        <cdr:cNvSpPr txBox="1"/>
      </cdr:nvSpPr>
      <cdr:spPr>
        <a:xfrm xmlns:a="http://schemas.openxmlformats.org/drawingml/2006/main">
          <a:off x="645647" y="2277717"/>
          <a:ext cx="646298" cy="236111"/>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Moderate</a:t>
          </a:r>
        </a:p>
      </cdr:txBody>
    </cdr:sp>
  </cdr:relSizeAnchor>
  <cdr:relSizeAnchor xmlns:cdr="http://schemas.openxmlformats.org/drawingml/2006/chartDrawing">
    <cdr:from>
      <cdr:x>0.07938</cdr:x>
      <cdr:y>0.74282</cdr:y>
    </cdr:from>
    <cdr:to>
      <cdr:x>0.11716</cdr:x>
      <cdr:y>0.80927</cdr:y>
    </cdr:to>
    <cdr:sp macro="" textlink="">
      <cdr:nvSpPr>
        <cdr:cNvPr id="10" name="TextBox 2">
          <a:extLst xmlns:a="http://schemas.openxmlformats.org/drawingml/2006/main">
            <a:ext uri="{FF2B5EF4-FFF2-40B4-BE49-F238E27FC236}">
              <a16:creationId xmlns:a16="http://schemas.microsoft.com/office/drawing/2014/main" id="{14ABEA09-E4FC-5E4E-8517-C556F2A85949}"/>
            </a:ext>
          </a:extLst>
        </cdr:cNvPr>
        <cdr:cNvSpPr txBox="1"/>
      </cdr:nvSpPr>
      <cdr:spPr>
        <a:xfrm xmlns:a="http://schemas.openxmlformats.org/drawingml/2006/main">
          <a:off x="645647" y="2639383"/>
          <a:ext cx="307289" cy="23611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3">
                  <a:lumMod val="50000"/>
                </a:schemeClr>
              </a:solidFill>
            </a:rPr>
            <a:t>Low</a:t>
          </a:r>
        </a:p>
      </cdr:txBody>
    </cdr:sp>
  </cdr:relSizeAnchor>
</c:userShapes>
</file>

<file path=xl/drawings/drawing13.xml><?xml version="1.0" encoding="utf-8"?>
<c:userShapes xmlns:c="http://schemas.openxmlformats.org/drawingml/2006/chart">
  <cdr:relSizeAnchor xmlns:cdr="http://schemas.openxmlformats.org/drawingml/2006/chartDrawing">
    <cdr:from>
      <cdr:x>0.07938</cdr:x>
      <cdr:y>0.36334</cdr:y>
    </cdr:from>
    <cdr:to>
      <cdr:x>0.12039</cdr:x>
      <cdr:y>0.42978</cdr:y>
    </cdr:to>
    <cdr:sp macro="" textlink="">
      <cdr:nvSpPr>
        <cdr:cNvPr id="6" name="TextBox 1">
          <a:extLst xmlns:a="http://schemas.openxmlformats.org/drawingml/2006/main">
            <a:ext uri="{FF2B5EF4-FFF2-40B4-BE49-F238E27FC236}">
              <a16:creationId xmlns:a16="http://schemas.microsoft.com/office/drawing/2014/main" id="{C9D81E97-7004-F344-867B-FF79354E3E61}"/>
            </a:ext>
          </a:extLst>
        </cdr:cNvPr>
        <cdr:cNvSpPr txBox="1"/>
      </cdr:nvSpPr>
      <cdr:spPr>
        <a:xfrm xmlns:a="http://schemas.openxmlformats.org/drawingml/2006/main">
          <a:off x="645647" y="1291005"/>
          <a:ext cx="333560" cy="236074"/>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5">
                  <a:lumMod val="50000"/>
                </a:schemeClr>
              </a:solidFill>
            </a:rPr>
            <a:t>High</a:t>
          </a:r>
        </a:p>
      </cdr:txBody>
    </cdr:sp>
  </cdr:relSizeAnchor>
  <cdr:relSizeAnchor xmlns:cdr="http://schemas.openxmlformats.org/drawingml/2006/chartDrawing">
    <cdr:from>
      <cdr:x>0.07938</cdr:x>
      <cdr:y>0.13245</cdr:y>
    </cdr:from>
    <cdr:to>
      <cdr:x>0.15668</cdr:x>
      <cdr:y>0.1989</cdr:y>
    </cdr:to>
    <cdr:sp macro="" textlink="">
      <cdr:nvSpPr>
        <cdr:cNvPr id="7" name="TextBox 2">
          <a:extLst xmlns:a="http://schemas.openxmlformats.org/drawingml/2006/main">
            <a:ext uri="{FF2B5EF4-FFF2-40B4-BE49-F238E27FC236}">
              <a16:creationId xmlns:a16="http://schemas.microsoft.com/office/drawing/2014/main" id="{E6925C8E-34C2-B645-A1AD-5BB102E0A2C4}"/>
            </a:ext>
          </a:extLst>
        </cdr:cNvPr>
        <cdr:cNvSpPr txBox="1"/>
      </cdr:nvSpPr>
      <cdr:spPr>
        <a:xfrm xmlns:a="http://schemas.openxmlformats.org/drawingml/2006/main">
          <a:off x="645647" y="470621"/>
          <a:ext cx="628728" cy="23611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tx1"/>
              </a:solidFill>
            </a:rPr>
            <a:t>Very High</a:t>
          </a:r>
        </a:p>
      </cdr:txBody>
    </cdr:sp>
  </cdr:relSizeAnchor>
  <cdr:relSizeAnchor xmlns:cdr="http://schemas.openxmlformats.org/drawingml/2006/chartDrawing">
    <cdr:from>
      <cdr:x>0.07938</cdr:x>
      <cdr:y>0.5287</cdr:y>
    </cdr:from>
    <cdr:to>
      <cdr:x>0.15884</cdr:x>
      <cdr:y>0.59515</cdr:y>
    </cdr:to>
    <cdr:sp macro="" textlink="">
      <cdr:nvSpPr>
        <cdr:cNvPr id="9" name="TextBox 2">
          <a:extLst xmlns:a="http://schemas.openxmlformats.org/drawingml/2006/main">
            <a:ext uri="{FF2B5EF4-FFF2-40B4-BE49-F238E27FC236}">
              <a16:creationId xmlns:a16="http://schemas.microsoft.com/office/drawing/2014/main" id="{CC13780D-6A98-094C-8999-20D30B48FC09}"/>
            </a:ext>
          </a:extLst>
        </cdr:cNvPr>
        <cdr:cNvSpPr txBox="1"/>
      </cdr:nvSpPr>
      <cdr:spPr>
        <a:xfrm xmlns:a="http://schemas.openxmlformats.org/drawingml/2006/main">
          <a:off x="645647" y="1878582"/>
          <a:ext cx="646298" cy="23611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Moderate</a:t>
          </a:r>
        </a:p>
      </cdr:txBody>
    </cdr:sp>
  </cdr:relSizeAnchor>
  <cdr:relSizeAnchor xmlns:cdr="http://schemas.openxmlformats.org/drawingml/2006/chartDrawing">
    <cdr:from>
      <cdr:x>0.07938</cdr:x>
      <cdr:y>0.69571</cdr:y>
    </cdr:from>
    <cdr:to>
      <cdr:x>0.14636</cdr:x>
      <cdr:y>0.76215</cdr:y>
    </cdr:to>
    <cdr:sp macro="" textlink="">
      <cdr:nvSpPr>
        <cdr:cNvPr id="10" name="TextBox 2">
          <a:extLst xmlns:a="http://schemas.openxmlformats.org/drawingml/2006/main">
            <a:ext uri="{FF2B5EF4-FFF2-40B4-BE49-F238E27FC236}">
              <a16:creationId xmlns:a16="http://schemas.microsoft.com/office/drawing/2014/main" id="{14ABEA09-E4FC-5E4E-8517-C556F2A85949}"/>
            </a:ext>
          </a:extLst>
        </cdr:cNvPr>
        <cdr:cNvSpPr txBox="1"/>
      </cdr:nvSpPr>
      <cdr:spPr>
        <a:xfrm xmlns:a="http://schemas.openxmlformats.org/drawingml/2006/main">
          <a:off x="645647" y="2471997"/>
          <a:ext cx="544790" cy="236074"/>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3">
                  <a:lumMod val="50000"/>
                </a:schemeClr>
              </a:solidFill>
            </a:rPr>
            <a:t>Minimal</a:t>
          </a:r>
        </a:p>
      </cdr:txBody>
    </cdr:sp>
  </cdr:relSizeAnchor>
</c:userShapes>
</file>

<file path=xl/drawings/drawing14.xml><?xml version="1.0" encoding="utf-8"?>
<c:userShapes xmlns:c="http://schemas.openxmlformats.org/drawingml/2006/chart">
  <cdr:relSizeAnchor xmlns:cdr="http://schemas.openxmlformats.org/drawingml/2006/chartDrawing">
    <cdr:from>
      <cdr:x>0.07807</cdr:x>
      <cdr:y>0.33439</cdr:y>
    </cdr:from>
    <cdr:to>
      <cdr:x>0.22103</cdr:x>
      <cdr:y>0.40084</cdr:y>
    </cdr:to>
    <cdr:sp macro="" textlink="">
      <cdr:nvSpPr>
        <cdr:cNvPr id="6" name="TextBox 1">
          <a:extLst xmlns:a="http://schemas.openxmlformats.org/drawingml/2006/main">
            <a:ext uri="{FF2B5EF4-FFF2-40B4-BE49-F238E27FC236}">
              <a16:creationId xmlns:a16="http://schemas.microsoft.com/office/drawing/2014/main" id="{C9D81E97-7004-F344-867B-FF79354E3E61}"/>
            </a:ext>
          </a:extLst>
        </cdr:cNvPr>
        <cdr:cNvSpPr txBox="1"/>
      </cdr:nvSpPr>
      <cdr:spPr>
        <a:xfrm xmlns:a="http://schemas.openxmlformats.org/drawingml/2006/main">
          <a:off x="634980" y="1188145"/>
          <a:ext cx="1162781" cy="23611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5">
                  <a:lumMod val="50000"/>
                </a:schemeClr>
              </a:solidFill>
            </a:rPr>
            <a:t>Moderately Severe</a:t>
          </a:r>
        </a:p>
      </cdr:txBody>
    </cdr:sp>
  </cdr:relSizeAnchor>
  <cdr:relSizeAnchor xmlns:cdr="http://schemas.openxmlformats.org/drawingml/2006/chartDrawing">
    <cdr:from>
      <cdr:x>0.07807</cdr:x>
      <cdr:y>0.13245</cdr:y>
    </cdr:from>
    <cdr:to>
      <cdr:x>0.13476</cdr:x>
      <cdr:y>0.1989</cdr:y>
    </cdr:to>
    <cdr:sp macro="" textlink="">
      <cdr:nvSpPr>
        <cdr:cNvPr id="7" name="TextBox 2">
          <a:extLst xmlns:a="http://schemas.openxmlformats.org/drawingml/2006/main">
            <a:ext uri="{FF2B5EF4-FFF2-40B4-BE49-F238E27FC236}">
              <a16:creationId xmlns:a16="http://schemas.microsoft.com/office/drawing/2014/main" id="{E6925C8E-34C2-B645-A1AD-5BB102E0A2C4}"/>
            </a:ext>
          </a:extLst>
        </cdr:cNvPr>
        <cdr:cNvSpPr txBox="1"/>
      </cdr:nvSpPr>
      <cdr:spPr>
        <a:xfrm xmlns:a="http://schemas.openxmlformats.org/drawingml/2006/main">
          <a:off x="634980" y="470621"/>
          <a:ext cx="461094" cy="23611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tx1"/>
              </a:solidFill>
            </a:rPr>
            <a:t>Severe</a:t>
          </a:r>
        </a:p>
      </cdr:txBody>
    </cdr:sp>
  </cdr:relSizeAnchor>
  <cdr:relSizeAnchor xmlns:cdr="http://schemas.openxmlformats.org/drawingml/2006/chartDrawing">
    <cdr:from>
      <cdr:x>0.07807</cdr:x>
      <cdr:y>0.46337</cdr:y>
    </cdr:from>
    <cdr:to>
      <cdr:x>0.15753</cdr:x>
      <cdr:y>0.52982</cdr:y>
    </cdr:to>
    <cdr:sp macro="" textlink="">
      <cdr:nvSpPr>
        <cdr:cNvPr id="9" name="TextBox 2">
          <a:extLst xmlns:a="http://schemas.openxmlformats.org/drawingml/2006/main">
            <a:ext uri="{FF2B5EF4-FFF2-40B4-BE49-F238E27FC236}">
              <a16:creationId xmlns:a16="http://schemas.microsoft.com/office/drawing/2014/main" id="{CC13780D-6A98-094C-8999-20D30B48FC09}"/>
            </a:ext>
          </a:extLst>
        </cdr:cNvPr>
        <cdr:cNvSpPr txBox="1"/>
      </cdr:nvSpPr>
      <cdr:spPr>
        <a:xfrm xmlns:a="http://schemas.openxmlformats.org/drawingml/2006/main">
          <a:off x="634980" y="1646437"/>
          <a:ext cx="646297" cy="23611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Moderate</a:t>
          </a:r>
        </a:p>
      </cdr:txBody>
    </cdr:sp>
  </cdr:relSizeAnchor>
  <cdr:relSizeAnchor xmlns:cdr="http://schemas.openxmlformats.org/drawingml/2006/chartDrawing">
    <cdr:from>
      <cdr:x>0.07807</cdr:x>
      <cdr:y>0.59755</cdr:y>
    </cdr:from>
    <cdr:to>
      <cdr:x>0.11585</cdr:x>
      <cdr:y>0.664</cdr:y>
    </cdr:to>
    <cdr:sp macro="" textlink="">
      <cdr:nvSpPr>
        <cdr:cNvPr id="10" name="TextBox 2">
          <a:extLst xmlns:a="http://schemas.openxmlformats.org/drawingml/2006/main">
            <a:ext uri="{FF2B5EF4-FFF2-40B4-BE49-F238E27FC236}">
              <a16:creationId xmlns:a16="http://schemas.microsoft.com/office/drawing/2014/main" id="{14ABEA09-E4FC-5E4E-8517-C556F2A85949}"/>
            </a:ext>
          </a:extLst>
        </cdr:cNvPr>
        <cdr:cNvSpPr txBox="1"/>
      </cdr:nvSpPr>
      <cdr:spPr>
        <a:xfrm xmlns:a="http://schemas.openxmlformats.org/drawingml/2006/main">
          <a:off x="634980" y="2123230"/>
          <a:ext cx="307289" cy="23611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3">
                  <a:lumMod val="50000"/>
                </a:schemeClr>
              </a:solidFill>
            </a:rPr>
            <a:t>Low</a:t>
          </a:r>
        </a:p>
      </cdr:txBody>
    </cdr:sp>
  </cdr:relSizeAnchor>
  <cdr:relSizeAnchor xmlns:cdr="http://schemas.openxmlformats.org/drawingml/2006/chartDrawing">
    <cdr:from>
      <cdr:x>0.07807</cdr:x>
      <cdr:y>0.72829</cdr:y>
    </cdr:from>
    <cdr:to>
      <cdr:x>0.12509</cdr:x>
      <cdr:y>0.79473</cdr:y>
    </cdr:to>
    <cdr:sp macro="" textlink="">
      <cdr:nvSpPr>
        <cdr:cNvPr id="8" name="TextBox 2">
          <a:extLst xmlns:a="http://schemas.openxmlformats.org/drawingml/2006/main">
            <a:ext uri="{FF2B5EF4-FFF2-40B4-BE49-F238E27FC236}">
              <a16:creationId xmlns:a16="http://schemas.microsoft.com/office/drawing/2014/main" id="{1BDE6673-4B66-F14B-9615-DE8E105A8FB0}"/>
            </a:ext>
          </a:extLst>
        </cdr:cNvPr>
        <cdr:cNvSpPr txBox="1"/>
      </cdr:nvSpPr>
      <cdr:spPr>
        <a:xfrm xmlns:a="http://schemas.openxmlformats.org/drawingml/2006/main">
          <a:off x="634980" y="2587755"/>
          <a:ext cx="382443" cy="236074"/>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bg1">
                  <a:lumMod val="50000"/>
                </a:schemeClr>
              </a:solidFill>
            </a:rPr>
            <a:t>None</a:t>
          </a:r>
        </a:p>
      </cdr:txBody>
    </cdr:sp>
  </cdr:relSizeAnchor>
</c:userShapes>
</file>

<file path=xl/drawings/drawing15.xml><?xml version="1.0" encoding="utf-8"?>
<c:userShapes xmlns:c="http://schemas.openxmlformats.org/drawingml/2006/chart">
  <cdr:relSizeAnchor xmlns:cdr="http://schemas.openxmlformats.org/drawingml/2006/chartDrawing">
    <cdr:from>
      <cdr:x>0.07938</cdr:x>
      <cdr:y>0.497</cdr:y>
    </cdr:from>
    <cdr:to>
      <cdr:x>0.12039</cdr:x>
      <cdr:y>0.56344</cdr:y>
    </cdr:to>
    <cdr:sp macro="" textlink="">
      <cdr:nvSpPr>
        <cdr:cNvPr id="6" name="TextBox 1">
          <a:extLst xmlns:a="http://schemas.openxmlformats.org/drawingml/2006/main">
            <a:ext uri="{FF2B5EF4-FFF2-40B4-BE49-F238E27FC236}">
              <a16:creationId xmlns:a16="http://schemas.microsoft.com/office/drawing/2014/main" id="{C9D81E97-7004-F344-867B-FF79354E3E61}"/>
            </a:ext>
          </a:extLst>
        </cdr:cNvPr>
        <cdr:cNvSpPr txBox="1"/>
      </cdr:nvSpPr>
      <cdr:spPr>
        <a:xfrm xmlns:a="http://schemas.openxmlformats.org/drawingml/2006/main">
          <a:off x="645647" y="1765950"/>
          <a:ext cx="333560" cy="236075"/>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5">
                  <a:lumMod val="50000"/>
                </a:schemeClr>
              </a:solidFill>
            </a:rPr>
            <a:t>High</a:t>
          </a:r>
        </a:p>
      </cdr:txBody>
    </cdr:sp>
  </cdr:relSizeAnchor>
  <cdr:relSizeAnchor xmlns:cdr="http://schemas.openxmlformats.org/drawingml/2006/chartDrawing">
    <cdr:from>
      <cdr:x>0.07938</cdr:x>
      <cdr:y>0.13245</cdr:y>
    </cdr:from>
    <cdr:to>
      <cdr:x>0.15668</cdr:x>
      <cdr:y>0.1989</cdr:y>
    </cdr:to>
    <cdr:sp macro="" textlink="">
      <cdr:nvSpPr>
        <cdr:cNvPr id="7" name="TextBox 2">
          <a:extLst xmlns:a="http://schemas.openxmlformats.org/drawingml/2006/main">
            <a:ext uri="{FF2B5EF4-FFF2-40B4-BE49-F238E27FC236}">
              <a16:creationId xmlns:a16="http://schemas.microsoft.com/office/drawing/2014/main" id="{E6925C8E-34C2-B645-A1AD-5BB102E0A2C4}"/>
            </a:ext>
          </a:extLst>
        </cdr:cNvPr>
        <cdr:cNvSpPr txBox="1"/>
      </cdr:nvSpPr>
      <cdr:spPr>
        <a:xfrm xmlns:a="http://schemas.openxmlformats.org/drawingml/2006/main">
          <a:off x="645647" y="470621"/>
          <a:ext cx="628728" cy="23611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tx1"/>
              </a:solidFill>
            </a:rPr>
            <a:t>Very High</a:t>
          </a:r>
        </a:p>
      </cdr:txBody>
    </cdr:sp>
  </cdr:relSizeAnchor>
  <cdr:relSizeAnchor xmlns:cdr="http://schemas.openxmlformats.org/drawingml/2006/chartDrawing">
    <cdr:from>
      <cdr:x>0.07938</cdr:x>
      <cdr:y>0.56992</cdr:y>
    </cdr:from>
    <cdr:to>
      <cdr:x>0.15884</cdr:x>
      <cdr:y>0.63637</cdr:y>
    </cdr:to>
    <cdr:sp macro="" textlink="">
      <cdr:nvSpPr>
        <cdr:cNvPr id="9" name="TextBox 2">
          <a:extLst xmlns:a="http://schemas.openxmlformats.org/drawingml/2006/main">
            <a:ext uri="{FF2B5EF4-FFF2-40B4-BE49-F238E27FC236}">
              <a16:creationId xmlns:a16="http://schemas.microsoft.com/office/drawing/2014/main" id="{CC13780D-6A98-094C-8999-20D30B48FC09}"/>
            </a:ext>
          </a:extLst>
        </cdr:cNvPr>
        <cdr:cNvSpPr txBox="1"/>
      </cdr:nvSpPr>
      <cdr:spPr>
        <a:xfrm xmlns:a="http://schemas.openxmlformats.org/drawingml/2006/main">
          <a:off x="645647" y="2025049"/>
          <a:ext cx="646298" cy="236111"/>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Moderate</a:t>
          </a:r>
        </a:p>
      </cdr:txBody>
    </cdr:sp>
  </cdr:relSizeAnchor>
  <cdr:relSizeAnchor xmlns:cdr="http://schemas.openxmlformats.org/drawingml/2006/chartDrawing">
    <cdr:from>
      <cdr:x>0.07938</cdr:x>
      <cdr:y>0.70949</cdr:y>
    </cdr:from>
    <cdr:to>
      <cdr:x>0.14636</cdr:x>
      <cdr:y>0.77593</cdr:y>
    </cdr:to>
    <cdr:sp macro="" textlink="">
      <cdr:nvSpPr>
        <cdr:cNvPr id="10" name="TextBox 2">
          <a:extLst xmlns:a="http://schemas.openxmlformats.org/drawingml/2006/main">
            <a:ext uri="{FF2B5EF4-FFF2-40B4-BE49-F238E27FC236}">
              <a16:creationId xmlns:a16="http://schemas.microsoft.com/office/drawing/2014/main" id="{14ABEA09-E4FC-5E4E-8517-C556F2A85949}"/>
            </a:ext>
          </a:extLst>
        </cdr:cNvPr>
        <cdr:cNvSpPr txBox="1"/>
      </cdr:nvSpPr>
      <cdr:spPr>
        <a:xfrm xmlns:a="http://schemas.openxmlformats.org/drawingml/2006/main">
          <a:off x="645647" y="2520960"/>
          <a:ext cx="544790" cy="236074"/>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3">
                  <a:lumMod val="50000"/>
                </a:schemeClr>
              </a:solidFill>
            </a:rPr>
            <a:t>Minimal</a:t>
          </a:r>
        </a:p>
      </cdr:txBody>
    </cdr:sp>
  </cdr:relSizeAnchor>
</c:userShapes>
</file>

<file path=xl/drawings/drawing16.xml><?xml version="1.0" encoding="utf-8"?>
<c:userShapes xmlns:c="http://schemas.openxmlformats.org/drawingml/2006/chart">
  <cdr:relSizeAnchor xmlns:cdr="http://schemas.openxmlformats.org/drawingml/2006/chartDrawing">
    <cdr:from>
      <cdr:x>0.0829</cdr:x>
      <cdr:y>0.83874</cdr:y>
    </cdr:from>
    <cdr:to>
      <cdr:x>0.53126</cdr:x>
      <cdr:y>0.97427</cdr:y>
    </cdr:to>
    <cdr:sp macro="" textlink="">
      <cdr:nvSpPr>
        <cdr:cNvPr id="5" name="TextBox 4">
          <a:extLst xmlns:a="http://schemas.openxmlformats.org/drawingml/2006/main">
            <a:ext uri="{FF2B5EF4-FFF2-40B4-BE49-F238E27FC236}">
              <a16:creationId xmlns:a16="http://schemas.microsoft.com/office/drawing/2014/main" id="{EC7F6CCA-7A7D-7842-9368-22D923C91FC5}"/>
            </a:ext>
          </a:extLst>
        </cdr:cNvPr>
        <cdr:cNvSpPr txBox="1"/>
      </cdr:nvSpPr>
      <cdr:spPr>
        <a:xfrm xmlns:a="http://schemas.openxmlformats.org/drawingml/2006/main">
          <a:off x="674277" y="2980211"/>
          <a:ext cx="3646788" cy="481565"/>
        </a:xfrm>
        <a:prstGeom xmlns:a="http://schemas.openxmlformats.org/drawingml/2006/main" prst="rect">
          <a:avLst/>
        </a:prstGeom>
        <a:ln xmlns:a="http://schemas.openxmlformats.org/drawingml/2006/main" w="9525">
          <a:noFill/>
        </a:ln>
      </cdr:spPr>
      <cdr:txBody>
        <a:bodyPr xmlns:a="http://schemas.openxmlformats.org/drawingml/2006/main" vertOverflow="clip" horzOverflow="clip" wrap="square" lIns="36000" tIns="108000" rIns="36000" bIns="36000" rtlCol="0">
          <a:spAutoFit/>
        </a:bodyPr>
        <a:lstStyle xmlns:a="http://schemas.openxmlformats.org/drawingml/2006/main"/>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Subscales</a:t>
          </a:r>
        </a:p>
      </cdr:txBody>
    </cdr:sp>
  </cdr:relSizeAnchor>
  <cdr:relSizeAnchor xmlns:cdr="http://schemas.openxmlformats.org/drawingml/2006/chartDrawing">
    <cdr:from>
      <cdr:x>0.64206</cdr:x>
      <cdr:y>0.83874</cdr:y>
    </cdr:from>
    <cdr:to>
      <cdr:x>0.98072</cdr:x>
      <cdr:y>0.97427</cdr:y>
    </cdr:to>
    <cdr:sp macro="" textlink="">
      <cdr:nvSpPr>
        <cdr:cNvPr id="12" name="TextBox 1">
          <a:extLst xmlns:a="http://schemas.openxmlformats.org/drawingml/2006/main">
            <a:ext uri="{FF2B5EF4-FFF2-40B4-BE49-F238E27FC236}">
              <a16:creationId xmlns:a16="http://schemas.microsoft.com/office/drawing/2014/main" id="{38320C4F-4D78-1A42-8593-F17807B248DE}"/>
            </a:ext>
          </a:extLst>
        </cdr:cNvPr>
        <cdr:cNvSpPr txBox="1"/>
      </cdr:nvSpPr>
      <cdr:spPr>
        <a:xfrm xmlns:a="http://schemas.openxmlformats.org/drawingml/2006/main">
          <a:off x="5222270" y="2980210"/>
          <a:ext cx="2754531" cy="481566"/>
        </a:xfrm>
        <a:prstGeom xmlns:a="http://schemas.openxmlformats.org/drawingml/2006/main" prst="rect">
          <a:avLst/>
        </a:prstGeom>
        <a:ln xmlns:a="http://schemas.openxmlformats.org/drawingml/2006/main" w="9525">
          <a:noFill/>
        </a:ln>
      </cdr:spPr>
      <cdr:txBody>
        <a:bodyPr xmlns:a="http://schemas.openxmlformats.org/drawingml/2006/main" wrap="square" lIns="36000" tIns="108000" rIns="36000" bIns="36000"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Composites</a:t>
          </a:r>
        </a:p>
      </cdr:txBody>
    </cdr:sp>
  </cdr:relSizeAnchor>
  <cdr:relSizeAnchor xmlns:cdr="http://schemas.openxmlformats.org/drawingml/2006/chartDrawing">
    <cdr:from>
      <cdr:x>0.0747</cdr:x>
      <cdr:y>0.7738</cdr:y>
    </cdr:from>
    <cdr:to>
      <cdr:x>0.11248</cdr:x>
      <cdr:y>0.84025</cdr:y>
    </cdr:to>
    <cdr:sp macro="" textlink="">
      <cdr:nvSpPr>
        <cdr:cNvPr id="6" name="TextBox 1">
          <a:extLst xmlns:a="http://schemas.openxmlformats.org/drawingml/2006/main">
            <a:ext uri="{FF2B5EF4-FFF2-40B4-BE49-F238E27FC236}">
              <a16:creationId xmlns:a16="http://schemas.microsoft.com/office/drawing/2014/main" id="{C9D81E97-7004-F344-867B-FF79354E3E61}"/>
            </a:ext>
          </a:extLst>
        </cdr:cNvPr>
        <cdr:cNvSpPr txBox="1"/>
      </cdr:nvSpPr>
      <cdr:spPr>
        <a:xfrm xmlns:a="http://schemas.openxmlformats.org/drawingml/2006/main">
          <a:off x="607581" y="2749466"/>
          <a:ext cx="307288" cy="23611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Low</a:t>
          </a:r>
        </a:p>
      </cdr:txBody>
    </cdr:sp>
  </cdr:relSizeAnchor>
  <cdr:relSizeAnchor xmlns:cdr="http://schemas.openxmlformats.org/drawingml/2006/chartDrawing">
    <cdr:from>
      <cdr:x>0.0747</cdr:x>
      <cdr:y>0.12155</cdr:y>
    </cdr:from>
    <cdr:to>
      <cdr:x>0.11571</cdr:x>
      <cdr:y>0.188</cdr:y>
    </cdr:to>
    <cdr:sp macro="" textlink="">
      <cdr:nvSpPr>
        <cdr:cNvPr id="7" name="TextBox 2">
          <a:extLst xmlns:a="http://schemas.openxmlformats.org/drawingml/2006/main">
            <a:ext uri="{FF2B5EF4-FFF2-40B4-BE49-F238E27FC236}">
              <a16:creationId xmlns:a16="http://schemas.microsoft.com/office/drawing/2014/main" id="{E6925C8E-34C2-B645-A1AD-5BB102E0A2C4}"/>
            </a:ext>
          </a:extLst>
        </cdr:cNvPr>
        <cdr:cNvSpPr txBox="1"/>
      </cdr:nvSpPr>
      <cdr:spPr>
        <a:xfrm xmlns:a="http://schemas.openxmlformats.org/drawingml/2006/main">
          <a:off x="607581" y="431891"/>
          <a:ext cx="333560" cy="236111"/>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High</a:t>
          </a:r>
        </a:p>
      </cdr:txBody>
    </cdr:sp>
  </cdr:relSizeAnchor>
</c:userShapes>
</file>

<file path=xl/drawings/drawing17.xml><?xml version="1.0" encoding="utf-8"?>
<c:userShapes xmlns:c="http://schemas.openxmlformats.org/drawingml/2006/chart">
  <cdr:relSizeAnchor xmlns:cdr="http://schemas.openxmlformats.org/drawingml/2006/chartDrawing">
    <cdr:from>
      <cdr:x>0.07168</cdr:x>
      <cdr:y>0.83874</cdr:y>
    </cdr:from>
    <cdr:to>
      <cdr:x>0.98319</cdr:x>
      <cdr:y>0.97427</cdr:y>
    </cdr:to>
    <cdr:sp macro="" textlink="">
      <cdr:nvSpPr>
        <cdr:cNvPr id="5" name="TextBox 4">
          <a:extLst xmlns:a="http://schemas.openxmlformats.org/drawingml/2006/main">
            <a:ext uri="{FF2B5EF4-FFF2-40B4-BE49-F238E27FC236}">
              <a16:creationId xmlns:a16="http://schemas.microsoft.com/office/drawing/2014/main" id="{EC7F6CCA-7A7D-7842-9368-22D923C91FC5}"/>
            </a:ext>
          </a:extLst>
        </cdr:cNvPr>
        <cdr:cNvSpPr txBox="1"/>
      </cdr:nvSpPr>
      <cdr:spPr>
        <a:xfrm xmlns:a="http://schemas.openxmlformats.org/drawingml/2006/main">
          <a:off x="586154" y="2932032"/>
          <a:ext cx="7453923" cy="473780"/>
        </a:xfrm>
        <a:prstGeom xmlns:a="http://schemas.openxmlformats.org/drawingml/2006/main" prst="rect">
          <a:avLst/>
        </a:prstGeom>
        <a:ln xmlns:a="http://schemas.openxmlformats.org/drawingml/2006/main" w="9525">
          <a:noFill/>
        </a:ln>
      </cdr:spPr>
      <cdr:txBody>
        <a:bodyPr xmlns:a="http://schemas.openxmlformats.org/drawingml/2006/main" vertOverflow="clip" horzOverflow="clip" wrap="square" lIns="36000" tIns="108000" rIns="36000" bIns="36000" rtlCol="0">
          <a:spAutoFit/>
        </a:bodyPr>
        <a:lstStyle xmlns:a="http://schemas.openxmlformats.org/drawingml/2006/main"/>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Subscales</a:t>
          </a:r>
        </a:p>
      </cdr:txBody>
    </cdr:sp>
  </cdr:relSizeAnchor>
  <cdr:relSizeAnchor xmlns:cdr="http://schemas.openxmlformats.org/drawingml/2006/chartDrawing">
    <cdr:from>
      <cdr:x>0.07651</cdr:x>
      <cdr:y>0.51575</cdr:y>
    </cdr:from>
    <cdr:to>
      <cdr:x>0.15597</cdr:x>
      <cdr:y>0.58219</cdr:y>
    </cdr:to>
    <cdr:sp macro="" textlink="">
      <cdr:nvSpPr>
        <cdr:cNvPr id="6" name="TextBox 1">
          <a:extLst xmlns:a="http://schemas.openxmlformats.org/drawingml/2006/main">
            <a:ext uri="{FF2B5EF4-FFF2-40B4-BE49-F238E27FC236}">
              <a16:creationId xmlns:a16="http://schemas.microsoft.com/office/drawing/2014/main" id="{C9D81E97-7004-F344-867B-FF79354E3E61}"/>
            </a:ext>
          </a:extLst>
        </cdr:cNvPr>
        <cdr:cNvSpPr txBox="1"/>
      </cdr:nvSpPr>
      <cdr:spPr>
        <a:xfrm xmlns:a="http://schemas.openxmlformats.org/drawingml/2006/main">
          <a:off x="622303" y="1832558"/>
          <a:ext cx="646297" cy="236074"/>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Moderate</a:t>
          </a:r>
        </a:p>
      </cdr:txBody>
    </cdr:sp>
  </cdr:relSizeAnchor>
  <cdr:relSizeAnchor xmlns:cdr="http://schemas.openxmlformats.org/drawingml/2006/chartDrawing">
    <cdr:from>
      <cdr:x>0.07651</cdr:x>
      <cdr:y>0.13245</cdr:y>
    </cdr:from>
    <cdr:to>
      <cdr:x>0.20671</cdr:x>
      <cdr:y>0.1989</cdr:y>
    </cdr:to>
    <cdr:sp macro="" textlink="">
      <cdr:nvSpPr>
        <cdr:cNvPr id="7" name="TextBox 2">
          <a:extLst xmlns:a="http://schemas.openxmlformats.org/drawingml/2006/main">
            <a:ext uri="{FF2B5EF4-FFF2-40B4-BE49-F238E27FC236}">
              <a16:creationId xmlns:a16="http://schemas.microsoft.com/office/drawing/2014/main" id="{E6925C8E-34C2-B645-A1AD-5BB102E0A2C4}"/>
            </a:ext>
          </a:extLst>
        </cdr:cNvPr>
        <cdr:cNvSpPr txBox="1"/>
      </cdr:nvSpPr>
      <cdr:spPr>
        <a:xfrm xmlns:a="http://schemas.openxmlformats.org/drawingml/2006/main">
          <a:off x="622303" y="470621"/>
          <a:ext cx="1058996" cy="23611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tx1"/>
              </a:solidFill>
            </a:rPr>
            <a:t>Extremely severe</a:t>
          </a:r>
        </a:p>
      </cdr:txBody>
    </cdr:sp>
  </cdr:relSizeAnchor>
  <cdr:relSizeAnchor xmlns:cdr="http://schemas.openxmlformats.org/drawingml/2006/chartDrawing">
    <cdr:from>
      <cdr:x>0.07651</cdr:x>
      <cdr:y>0.41942</cdr:y>
    </cdr:from>
    <cdr:to>
      <cdr:x>0.1332</cdr:x>
      <cdr:y>0.48587</cdr:y>
    </cdr:to>
    <cdr:sp macro="" textlink="">
      <cdr:nvSpPr>
        <cdr:cNvPr id="8" name="TextBox 2">
          <a:extLst xmlns:a="http://schemas.openxmlformats.org/drawingml/2006/main">
            <a:ext uri="{FF2B5EF4-FFF2-40B4-BE49-F238E27FC236}">
              <a16:creationId xmlns:a16="http://schemas.microsoft.com/office/drawing/2014/main" id="{CC13780D-6A98-094C-8999-20D30B48FC09}"/>
            </a:ext>
          </a:extLst>
        </cdr:cNvPr>
        <cdr:cNvSpPr txBox="1"/>
      </cdr:nvSpPr>
      <cdr:spPr>
        <a:xfrm xmlns:a="http://schemas.openxmlformats.org/drawingml/2006/main">
          <a:off x="622303" y="1490293"/>
          <a:ext cx="461095" cy="23611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5">
                  <a:lumMod val="50000"/>
                </a:schemeClr>
              </a:solidFill>
            </a:rPr>
            <a:t>Severe</a:t>
          </a:r>
        </a:p>
      </cdr:txBody>
    </cdr:sp>
  </cdr:relSizeAnchor>
  <cdr:relSizeAnchor xmlns:cdr="http://schemas.openxmlformats.org/drawingml/2006/chartDrawing">
    <cdr:from>
      <cdr:x>0.07651</cdr:x>
      <cdr:y>0.63031</cdr:y>
    </cdr:from>
    <cdr:to>
      <cdr:x>0.11735</cdr:x>
      <cdr:y>0.69676</cdr:y>
    </cdr:to>
    <cdr:sp macro="" textlink="">
      <cdr:nvSpPr>
        <cdr:cNvPr id="9" name="TextBox 2">
          <a:extLst xmlns:a="http://schemas.openxmlformats.org/drawingml/2006/main">
            <a:ext uri="{FF2B5EF4-FFF2-40B4-BE49-F238E27FC236}">
              <a16:creationId xmlns:a16="http://schemas.microsoft.com/office/drawing/2014/main" id="{CC13780D-6A98-094C-8999-20D30B48FC09}"/>
            </a:ext>
          </a:extLst>
        </cdr:cNvPr>
        <cdr:cNvSpPr txBox="1"/>
      </cdr:nvSpPr>
      <cdr:spPr>
        <a:xfrm xmlns:a="http://schemas.openxmlformats.org/drawingml/2006/main">
          <a:off x="622303" y="2239617"/>
          <a:ext cx="332177" cy="236111"/>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3">
                  <a:lumMod val="50000"/>
                </a:schemeClr>
              </a:solidFill>
            </a:rPr>
            <a:t>Mild</a:t>
          </a:r>
        </a:p>
      </cdr:txBody>
    </cdr:sp>
  </cdr:relSizeAnchor>
  <cdr:relSizeAnchor xmlns:cdr="http://schemas.openxmlformats.org/drawingml/2006/chartDrawing">
    <cdr:from>
      <cdr:x>0.07651</cdr:x>
      <cdr:y>0.69571</cdr:y>
    </cdr:from>
    <cdr:to>
      <cdr:x>0.13798</cdr:x>
      <cdr:y>0.76215</cdr:y>
    </cdr:to>
    <cdr:sp macro="" textlink="">
      <cdr:nvSpPr>
        <cdr:cNvPr id="10" name="TextBox 2">
          <a:extLst xmlns:a="http://schemas.openxmlformats.org/drawingml/2006/main">
            <a:ext uri="{FF2B5EF4-FFF2-40B4-BE49-F238E27FC236}">
              <a16:creationId xmlns:a16="http://schemas.microsoft.com/office/drawing/2014/main" id="{14ABEA09-E4FC-5E4E-8517-C556F2A85949}"/>
            </a:ext>
          </a:extLst>
        </cdr:cNvPr>
        <cdr:cNvSpPr txBox="1"/>
      </cdr:nvSpPr>
      <cdr:spPr>
        <a:xfrm xmlns:a="http://schemas.openxmlformats.org/drawingml/2006/main">
          <a:off x="622303" y="2471997"/>
          <a:ext cx="499973" cy="236074"/>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bg1">
                  <a:lumMod val="50000"/>
                </a:schemeClr>
              </a:solidFill>
            </a:rPr>
            <a:t>Normal</a:t>
          </a:r>
        </a:p>
      </cdr:txBody>
    </cdr:sp>
  </cdr:relSizeAnchor>
</c:userShapes>
</file>

<file path=xl/drawings/drawing18.xml><?xml version="1.0" encoding="utf-8"?>
<c:userShapes xmlns:c="http://schemas.openxmlformats.org/drawingml/2006/chart">
  <cdr:relSizeAnchor xmlns:cdr="http://schemas.openxmlformats.org/drawingml/2006/chartDrawing">
    <cdr:from>
      <cdr:x>0.07168</cdr:x>
      <cdr:y>0.83874</cdr:y>
    </cdr:from>
    <cdr:to>
      <cdr:x>0.7245</cdr:x>
      <cdr:y>0.95842</cdr:y>
    </cdr:to>
    <cdr:sp macro="" textlink="">
      <cdr:nvSpPr>
        <cdr:cNvPr id="2" name="TextBox 4">
          <a:extLst xmlns:a="http://schemas.openxmlformats.org/drawingml/2006/main">
            <a:ext uri="{FF2B5EF4-FFF2-40B4-BE49-F238E27FC236}">
              <a16:creationId xmlns:a16="http://schemas.microsoft.com/office/drawing/2014/main" id="{EC7F6CCA-7A7D-7842-9368-22D923C91FC5}"/>
            </a:ext>
          </a:extLst>
        </cdr:cNvPr>
        <cdr:cNvSpPr txBox="1"/>
      </cdr:nvSpPr>
      <cdr:spPr>
        <a:xfrm xmlns:a="http://schemas.openxmlformats.org/drawingml/2006/main">
          <a:off x="583019" y="3323423"/>
          <a:ext cx="5309782" cy="474214"/>
        </a:xfrm>
        <a:prstGeom xmlns:a="http://schemas.openxmlformats.org/drawingml/2006/main" prst="rect">
          <a:avLst/>
        </a:prstGeom>
        <a:ln xmlns:a="http://schemas.openxmlformats.org/drawingml/2006/main" w="9525">
          <a:noFill/>
        </a:ln>
      </cdr:spPr>
      <cdr:txBody>
        <a:bodyPr xmlns:a="http://schemas.openxmlformats.org/drawingml/2006/main" vertOverflow="clip" horzOverflow="clip" wrap="square" lIns="36000" tIns="108000" rIns="36000" bIns="36000" rtlCol="0">
          <a:spAutoFit/>
        </a:bodyPr>
        <a:lstStyle xmlns:a="http://schemas.openxmlformats.org/drawingml/2006/main"/>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Subscales</a:t>
          </a:r>
        </a:p>
      </cdr:txBody>
    </cdr:sp>
  </cdr:relSizeAnchor>
  <cdr:relSizeAnchor xmlns:cdr="http://schemas.openxmlformats.org/drawingml/2006/chartDrawing">
    <cdr:from>
      <cdr:x>0.85409</cdr:x>
      <cdr:y>0.12755</cdr:y>
    </cdr:from>
    <cdr:to>
      <cdr:x>0.98369</cdr:x>
      <cdr:y>0.23283</cdr:y>
    </cdr:to>
    <cdr:sp macro="" textlink="">
      <cdr:nvSpPr>
        <cdr:cNvPr id="14" name="TextBox 1">
          <a:extLst xmlns:a="http://schemas.openxmlformats.org/drawingml/2006/main">
            <a:ext uri="{FF2B5EF4-FFF2-40B4-BE49-F238E27FC236}">
              <a16:creationId xmlns:a16="http://schemas.microsoft.com/office/drawing/2014/main" id="{ACE3E927-E3F8-EFD5-CB99-AC3D211CAC74}"/>
            </a:ext>
          </a:extLst>
        </cdr:cNvPr>
        <cdr:cNvSpPr txBox="1"/>
      </cdr:nvSpPr>
      <cdr:spPr>
        <a:xfrm xmlns:a="http://schemas.openxmlformats.org/drawingml/2006/main">
          <a:off x="6946853" y="453215"/>
          <a:ext cx="1054116" cy="374081"/>
        </a:xfrm>
        <a:prstGeom xmlns:a="http://schemas.openxmlformats.org/drawingml/2006/main" prst="rect">
          <a:avLst/>
        </a:prstGeom>
      </cdr:spPr>
      <cdr:txBody>
        <a:bodyPr xmlns:a="http://schemas.openxmlformats.org/drawingml/2006/main" wrap="squar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Elevated autistic</a:t>
          </a:r>
          <a:r>
            <a:rPr lang="en-GB" sz="1100" baseline="0">
              <a:solidFill>
                <a:schemeClr val="accent4">
                  <a:lumMod val="50000"/>
                </a:schemeClr>
              </a:solidFill>
            </a:rPr>
            <a:t>  traits</a:t>
          </a:r>
          <a:endParaRPr lang="en-GB" sz="1100">
            <a:solidFill>
              <a:schemeClr val="accent4">
                <a:lumMod val="50000"/>
              </a:schemeClr>
            </a:solidFill>
          </a:endParaRPr>
        </a:p>
      </cdr:txBody>
    </cdr:sp>
  </cdr:relSizeAnchor>
  <cdr:relSizeAnchor xmlns:cdr="http://schemas.openxmlformats.org/drawingml/2006/chartDrawing">
    <cdr:from>
      <cdr:x>0.85409</cdr:x>
      <cdr:y>0.73557</cdr:y>
    </cdr:from>
    <cdr:to>
      <cdr:x>0.95404</cdr:x>
      <cdr:y>0.79739</cdr:y>
    </cdr:to>
    <cdr:sp macro="" textlink="">
      <cdr:nvSpPr>
        <cdr:cNvPr id="15" name="TextBox 2">
          <a:extLst xmlns:a="http://schemas.openxmlformats.org/drawingml/2006/main">
            <a:ext uri="{FF2B5EF4-FFF2-40B4-BE49-F238E27FC236}">
              <a16:creationId xmlns:a16="http://schemas.microsoft.com/office/drawing/2014/main" id="{27078948-E8D3-4806-5FF7-C3C31E3F4575}"/>
            </a:ext>
          </a:extLst>
        </cdr:cNvPr>
        <cdr:cNvSpPr txBox="1"/>
      </cdr:nvSpPr>
      <cdr:spPr>
        <a:xfrm xmlns:a="http://schemas.openxmlformats.org/drawingml/2006/main">
          <a:off x="6946853" y="2613633"/>
          <a:ext cx="812955" cy="219659"/>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3">
                  <a:lumMod val="50000"/>
                </a:schemeClr>
              </a:solidFill>
            </a:rPr>
            <a:t>Not elevated</a:t>
          </a:r>
        </a:p>
      </cdr:txBody>
    </cdr:sp>
  </cdr:relSizeAnchor>
  <cdr:relSizeAnchor xmlns:cdr="http://schemas.openxmlformats.org/drawingml/2006/chartDrawing">
    <cdr:from>
      <cdr:x>0.85097</cdr:x>
      <cdr:y>0.80437</cdr:y>
    </cdr:from>
    <cdr:to>
      <cdr:x>0.98213</cdr:x>
      <cdr:y>0.94115</cdr:y>
    </cdr:to>
    <cdr:sp macro="" textlink="">
      <cdr:nvSpPr>
        <cdr:cNvPr id="16" name="TextBox 4">
          <a:extLst xmlns:a="http://schemas.openxmlformats.org/drawingml/2006/main">
            <a:ext uri="{FF2B5EF4-FFF2-40B4-BE49-F238E27FC236}">
              <a16:creationId xmlns:a16="http://schemas.microsoft.com/office/drawing/2014/main" id="{7325487F-95E0-34A2-A6A7-E800EE3B6904}"/>
            </a:ext>
          </a:extLst>
        </cdr:cNvPr>
        <cdr:cNvSpPr txBox="1"/>
      </cdr:nvSpPr>
      <cdr:spPr>
        <a:xfrm xmlns:a="http://schemas.openxmlformats.org/drawingml/2006/main">
          <a:off x="6921500" y="2858093"/>
          <a:ext cx="1066801" cy="486000"/>
        </a:xfrm>
        <a:prstGeom xmlns:a="http://schemas.openxmlformats.org/drawingml/2006/main" prst="rect">
          <a:avLst/>
        </a:prstGeom>
        <a:ln xmlns:a="http://schemas.openxmlformats.org/drawingml/2006/main" w="9525">
          <a:noFill/>
        </a:ln>
      </cdr:spPr>
      <cdr:txBody>
        <a:bodyPr xmlns:a="http://schemas.openxmlformats.org/drawingml/2006/main" wrap="square" lIns="36000" tIns="108000" rIns="36000" bIns="36000"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Composite</a:t>
          </a:r>
        </a:p>
      </cdr:txBody>
    </cdr:sp>
  </cdr:relSizeAnchor>
  <cdr:relSizeAnchor xmlns:cdr="http://schemas.openxmlformats.org/drawingml/2006/chartDrawing">
    <cdr:from>
      <cdr:x>0.07651</cdr:x>
      <cdr:y>0.80437</cdr:y>
    </cdr:from>
    <cdr:to>
      <cdr:x>0.72606</cdr:x>
      <cdr:y>0.94115</cdr:y>
    </cdr:to>
    <cdr:sp macro="" textlink="">
      <cdr:nvSpPr>
        <cdr:cNvPr id="3" name="TextBox 4">
          <a:extLst xmlns:a="http://schemas.openxmlformats.org/drawingml/2006/main">
            <a:ext uri="{FF2B5EF4-FFF2-40B4-BE49-F238E27FC236}">
              <a16:creationId xmlns:a16="http://schemas.microsoft.com/office/drawing/2014/main" id="{D480924A-AA12-FD5E-0139-EB4A0EA478D4}"/>
            </a:ext>
          </a:extLst>
        </cdr:cNvPr>
        <cdr:cNvSpPr txBox="1"/>
      </cdr:nvSpPr>
      <cdr:spPr>
        <a:xfrm xmlns:a="http://schemas.openxmlformats.org/drawingml/2006/main">
          <a:off x="622300" y="2858093"/>
          <a:ext cx="5283200" cy="486000"/>
        </a:xfrm>
        <a:prstGeom xmlns:a="http://schemas.openxmlformats.org/drawingml/2006/main" prst="rect">
          <a:avLst/>
        </a:prstGeom>
        <a:ln xmlns:a="http://schemas.openxmlformats.org/drawingml/2006/main" w="9525">
          <a:noFill/>
        </a:ln>
      </cdr:spPr>
      <cdr:txBody>
        <a:bodyPr xmlns:a="http://schemas.openxmlformats.org/drawingml/2006/main" wrap="square" lIns="36000" tIns="108000" rIns="36000" bIns="36000"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Subscales</a:t>
          </a:r>
        </a:p>
      </cdr:txBody>
    </cdr:sp>
  </cdr:relSizeAnchor>
</c:userShapes>
</file>

<file path=xl/drawings/drawing19.xml><?xml version="1.0" encoding="utf-8"?>
<c:userShapes xmlns:c="http://schemas.openxmlformats.org/drawingml/2006/chart">
  <cdr:relSizeAnchor xmlns:cdr="http://schemas.openxmlformats.org/drawingml/2006/chartDrawing">
    <cdr:from>
      <cdr:x>0.07807</cdr:x>
      <cdr:y>0.12536</cdr:y>
    </cdr:from>
    <cdr:to>
      <cdr:x>0.24348</cdr:x>
      <cdr:y>0.19181</cdr:y>
    </cdr:to>
    <cdr:sp macro="" textlink="">
      <cdr:nvSpPr>
        <cdr:cNvPr id="9" name="TextBox 2">
          <a:extLst xmlns:a="http://schemas.openxmlformats.org/drawingml/2006/main">
            <a:ext uri="{FF2B5EF4-FFF2-40B4-BE49-F238E27FC236}">
              <a16:creationId xmlns:a16="http://schemas.microsoft.com/office/drawing/2014/main" id="{CC13780D-6A98-094C-8999-20D30B48FC09}"/>
            </a:ext>
          </a:extLst>
        </cdr:cNvPr>
        <cdr:cNvSpPr txBox="1"/>
      </cdr:nvSpPr>
      <cdr:spPr>
        <a:xfrm xmlns:a="http://schemas.openxmlformats.org/drawingml/2006/main">
          <a:off x="634991" y="445424"/>
          <a:ext cx="1345382" cy="23611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Elevated autistic traits</a:t>
          </a:r>
        </a:p>
      </cdr:txBody>
    </cdr:sp>
  </cdr:relSizeAnchor>
  <cdr:relSizeAnchor xmlns:cdr="http://schemas.openxmlformats.org/drawingml/2006/chartDrawing">
    <cdr:from>
      <cdr:x>0.07807</cdr:x>
      <cdr:y>0.7715</cdr:y>
    </cdr:from>
    <cdr:to>
      <cdr:x>0.17802</cdr:x>
      <cdr:y>0.83795</cdr:y>
    </cdr:to>
    <cdr:sp macro="" textlink="">
      <cdr:nvSpPr>
        <cdr:cNvPr id="10" name="TextBox 2">
          <a:extLst xmlns:a="http://schemas.openxmlformats.org/drawingml/2006/main">
            <a:ext uri="{FF2B5EF4-FFF2-40B4-BE49-F238E27FC236}">
              <a16:creationId xmlns:a16="http://schemas.microsoft.com/office/drawing/2014/main" id="{14ABEA09-E4FC-5E4E-8517-C556F2A85949}"/>
            </a:ext>
          </a:extLst>
        </cdr:cNvPr>
        <cdr:cNvSpPr txBox="1"/>
      </cdr:nvSpPr>
      <cdr:spPr>
        <a:xfrm xmlns:a="http://schemas.openxmlformats.org/drawingml/2006/main">
          <a:off x="634991" y="2741294"/>
          <a:ext cx="812955" cy="23611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3">
                  <a:lumMod val="50000"/>
                </a:schemeClr>
              </a:solidFill>
            </a:rPr>
            <a:t>Not elevated</a:t>
          </a:r>
        </a:p>
      </cdr:txBody>
    </cdr:sp>
  </cdr:relSizeAnchor>
</c:userShapes>
</file>

<file path=xl/drawings/drawing20.xml><?xml version="1.0" encoding="utf-8"?>
<c:userShapes xmlns:c="http://schemas.openxmlformats.org/drawingml/2006/chart">
  <cdr:relSizeAnchor xmlns:cdr="http://schemas.openxmlformats.org/drawingml/2006/chartDrawing">
    <cdr:from>
      <cdr:x>0.07026</cdr:x>
      <cdr:y>0.12911</cdr:y>
    </cdr:from>
    <cdr:to>
      <cdr:x>0.35744</cdr:x>
      <cdr:y>0.19556</cdr:y>
    </cdr:to>
    <cdr:sp macro="" textlink="">
      <cdr:nvSpPr>
        <cdr:cNvPr id="9" name="TextBox 2">
          <a:extLst xmlns:a="http://schemas.openxmlformats.org/drawingml/2006/main">
            <a:ext uri="{FF2B5EF4-FFF2-40B4-BE49-F238E27FC236}">
              <a16:creationId xmlns:a16="http://schemas.microsoft.com/office/drawing/2014/main" id="{CC13780D-6A98-094C-8999-20D30B48FC09}"/>
            </a:ext>
          </a:extLst>
        </cdr:cNvPr>
        <cdr:cNvSpPr txBox="1"/>
      </cdr:nvSpPr>
      <cdr:spPr>
        <a:xfrm xmlns:a="http://schemas.openxmlformats.org/drawingml/2006/main">
          <a:off x="571468" y="458754"/>
          <a:ext cx="2335812" cy="23611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Symptoms highly consistent with ADHD</a:t>
          </a:r>
        </a:p>
      </cdr:txBody>
    </cdr:sp>
  </cdr:relSizeAnchor>
  <cdr:relSizeAnchor xmlns:cdr="http://schemas.openxmlformats.org/drawingml/2006/chartDrawing">
    <cdr:from>
      <cdr:x>0.07026</cdr:x>
      <cdr:y>0.76042</cdr:y>
    </cdr:from>
    <cdr:to>
      <cdr:x>0.17021</cdr:x>
      <cdr:y>0.82687</cdr:y>
    </cdr:to>
    <cdr:sp macro="" textlink="">
      <cdr:nvSpPr>
        <cdr:cNvPr id="10" name="TextBox 2">
          <a:extLst xmlns:a="http://schemas.openxmlformats.org/drawingml/2006/main">
            <a:ext uri="{FF2B5EF4-FFF2-40B4-BE49-F238E27FC236}">
              <a16:creationId xmlns:a16="http://schemas.microsoft.com/office/drawing/2014/main" id="{14ABEA09-E4FC-5E4E-8517-C556F2A85949}"/>
            </a:ext>
          </a:extLst>
        </cdr:cNvPr>
        <cdr:cNvSpPr txBox="1"/>
      </cdr:nvSpPr>
      <cdr:spPr>
        <a:xfrm xmlns:a="http://schemas.openxmlformats.org/drawingml/2006/main">
          <a:off x="571468" y="2701924"/>
          <a:ext cx="812955" cy="23611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3">
                  <a:lumMod val="50000"/>
                </a:schemeClr>
              </a:solidFill>
            </a:rPr>
            <a:t>Not elevated</a:t>
          </a:r>
        </a:p>
      </cdr:txBody>
    </cdr:sp>
  </cdr:relSizeAnchor>
</c:userShapes>
</file>

<file path=xl/drawings/drawing21.xml><?xml version="1.0" encoding="utf-8"?>
<c:userShapes xmlns:c="http://schemas.openxmlformats.org/drawingml/2006/chart">
  <cdr:relSizeAnchor xmlns:cdr="http://schemas.openxmlformats.org/drawingml/2006/chartDrawing">
    <cdr:from>
      <cdr:x>0.07168</cdr:x>
      <cdr:y>0.83874</cdr:y>
    </cdr:from>
    <cdr:to>
      <cdr:x>0.75729</cdr:x>
      <cdr:y>0.95842</cdr:y>
    </cdr:to>
    <cdr:sp macro="" textlink="">
      <cdr:nvSpPr>
        <cdr:cNvPr id="2" name="TextBox 4">
          <a:extLst xmlns:a="http://schemas.openxmlformats.org/drawingml/2006/main">
            <a:ext uri="{FF2B5EF4-FFF2-40B4-BE49-F238E27FC236}">
              <a16:creationId xmlns:a16="http://schemas.microsoft.com/office/drawing/2014/main" id="{EC7F6CCA-7A7D-7842-9368-22D923C91FC5}"/>
            </a:ext>
          </a:extLst>
        </cdr:cNvPr>
        <cdr:cNvSpPr txBox="1"/>
      </cdr:nvSpPr>
      <cdr:spPr>
        <a:xfrm xmlns:a="http://schemas.openxmlformats.org/drawingml/2006/main">
          <a:off x="583018" y="3323423"/>
          <a:ext cx="5576482" cy="474220"/>
        </a:xfrm>
        <a:prstGeom xmlns:a="http://schemas.openxmlformats.org/drawingml/2006/main" prst="rect">
          <a:avLst/>
        </a:prstGeom>
        <a:ln xmlns:a="http://schemas.openxmlformats.org/drawingml/2006/main" w="9525">
          <a:noFill/>
        </a:ln>
      </cdr:spPr>
      <cdr:txBody>
        <a:bodyPr xmlns:a="http://schemas.openxmlformats.org/drawingml/2006/main" vertOverflow="clip" horzOverflow="clip" wrap="square" lIns="36000" tIns="108000" rIns="36000" bIns="36000" rtlCol="0">
          <a:spAutoFit/>
        </a:bodyPr>
        <a:lstStyle xmlns:a="http://schemas.openxmlformats.org/drawingml/2006/main"/>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Subscales</a:t>
          </a:r>
        </a:p>
      </cdr:txBody>
    </cdr:sp>
  </cdr:relSizeAnchor>
  <cdr:relSizeAnchor xmlns:cdr="http://schemas.openxmlformats.org/drawingml/2006/chartDrawing">
    <cdr:from>
      <cdr:x>0.87206</cdr:x>
      <cdr:y>0.12714</cdr:y>
    </cdr:from>
    <cdr:to>
      <cdr:x>0.98213</cdr:x>
      <cdr:y>0.23242</cdr:y>
    </cdr:to>
    <cdr:sp macro="" textlink="">
      <cdr:nvSpPr>
        <cdr:cNvPr id="14" name="TextBox 1">
          <a:extLst xmlns:a="http://schemas.openxmlformats.org/drawingml/2006/main">
            <a:ext uri="{FF2B5EF4-FFF2-40B4-BE49-F238E27FC236}">
              <a16:creationId xmlns:a16="http://schemas.microsoft.com/office/drawing/2014/main" id="{ACE3E927-E3F8-EFD5-CB99-AC3D211CAC74}"/>
            </a:ext>
          </a:extLst>
        </cdr:cNvPr>
        <cdr:cNvSpPr txBox="1"/>
      </cdr:nvSpPr>
      <cdr:spPr>
        <a:xfrm xmlns:a="http://schemas.openxmlformats.org/drawingml/2006/main">
          <a:off x="7093025" y="451742"/>
          <a:ext cx="895267" cy="374081"/>
        </a:xfrm>
        <a:prstGeom xmlns:a="http://schemas.openxmlformats.org/drawingml/2006/main" prst="rect">
          <a:avLst/>
        </a:prstGeom>
      </cdr:spPr>
      <cdr:txBody>
        <a:bodyPr xmlns:a="http://schemas.openxmlformats.org/drawingml/2006/main" wrap="squar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Elevated autistic traits</a:t>
          </a:r>
        </a:p>
      </cdr:txBody>
    </cdr:sp>
  </cdr:relSizeAnchor>
  <cdr:relSizeAnchor xmlns:cdr="http://schemas.openxmlformats.org/drawingml/2006/chartDrawing">
    <cdr:from>
      <cdr:x>0.87206</cdr:x>
      <cdr:y>0.71699</cdr:y>
    </cdr:from>
    <cdr:to>
      <cdr:x>0.97201</cdr:x>
      <cdr:y>0.77881</cdr:y>
    </cdr:to>
    <cdr:sp macro="" textlink="">
      <cdr:nvSpPr>
        <cdr:cNvPr id="15" name="TextBox 2">
          <a:extLst xmlns:a="http://schemas.openxmlformats.org/drawingml/2006/main">
            <a:ext uri="{FF2B5EF4-FFF2-40B4-BE49-F238E27FC236}">
              <a16:creationId xmlns:a16="http://schemas.microsoft.com/office/drawing/2014/main" id="{27078948-E8D3-4806-5FF7-C3C31E3F4575}"/>
            </a:ext>
          </a:extLst>
        </cdr:cNvPr>
        <cdr:cNvSpPr txBox="1"/>
      </cdr:nvSpPr>
      <cdr:spPr>
        <a:xfrm xmlns:a="http://schemas.openxmlformats.org/drawingml/2006/main">
          <a:off x="7093025" y="2547615"/>
          <a:ext cx="812955" cy="219659"/>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3">
                  <a:lumMod val="50000"/>
                </a:schemeClr>
              </a:solidFill>
            </a:rPr>
            <a:t>Not elevated</a:t>
          </a:r>
        </a:p>
      </cdr:txBody>
    </cdr:sp>
  </cdr:relSizeAnchor>
  <cdr:relSizeAnchor xmlns:cdr="http://schemas.openxmlformats.org/drawingml/2006/chartDrawing">
    <cdr:from>
      <cdr:x>0.86971</cdr:x>
      <cdr:y>0.8357</cdr:y>
    </cdr:from>
    <cdr:to>
      <cdr:x>0.9837</cdr:x>
      <cdr:y>0.96916</cdr:y>
    </cdr:to>
    <cdr:sp macro="" textlink="">
      <cdr:nvSpPr>
        <cdr:cNvPr id="16" name="TextBox 4">
          <a:extLst xmlns:a="http://schemas.openxmlformats.org/drawingml/2006/main">
            <a:ext uri="{FF2B5EF4-FFF2-40B4-BE49-F238E27FC236}">
              <a16:creationId xmlns:a16="http://schemas.microsoft.com/office/drawing/2014/main" id="{7325487F-95E0-34A2-A6A7-E800EE3B6904}"/>
            </a:ext>
          </a:extLst>
        </cdr:cNvPr>
        <cdr:cNvSpPr txBox="1"/>
      </cdr:nvSpPr>
      <cdr:spPr>
        <a:xfrm xmlns:a="http://schemas.openxmlformats.org/drawingml/2006/main">
          <a:off x="7073900" y="2969419"/>
          <a:ext cx="927101" cy="474214"/>
        </a:xfrm>
        <a:prstGeom xmlns:a="http://schemas.openxmlformats.org/drawingml/2006/main" prst="rect">
          <a:avLst/>
        </a:prstGeom>
        <a:ln xmlns:a="http://schemas.openxmlformats.org/drawingml/2006/main" w="9525">
          <a:noFill/>
        </a:ln>
      </cdr:spPr>
      <cdr:txBody>
        <a:bodyPr xmlns:a="http://schemas.openxmlformats.org/drawingml/2006/main" wrap="square" lIns="36000" tIns="108000" rIns="36000" bIns="36000" rtlCol="0" anchor="b">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Composite</a:t>
          </a:r>
        </a:p>
      </cdr:txBody>
    </cdr:sp>
  </cdr:relSizeAnchor>
  <cdr:relSizeAnchor xmlns:cdr="http://schemas.openxmlformats.org/drawingml/2006/chartDrawing">
    <cdr:from>
      <cdr:x>0.08588</cdr:x>
      <cdr:y>0.8357</cdr:y>
    </cdr:from>
    <cdr:to>
      <cdr:x>0.75885</cdr:x>
      <cdr:y>0.96916</cdr:y>
    </cdr:to>
    <cdr:sp macro="" textlink="">
      <cdr:nvSpPr>
        <cdr:cNvPr id="3" name="TextBox 4">
          <a:extLst xmlns:a="http://schemas.openxmlformats.org/drawingml/2006/main">
            <a:ext uri="{FF2B5EF4-FFF2-40B4-BE49-F238E27FC236}">
              <a16:creationId xmlns:a16="http://schemas.microsoft.com/office/drawing/2014/main" id="{942AF87C-919A-070E-DD5C-1EC905941D8B}"/>
            </a:ext>
          </a:extLst>
        </cdr:cNvPr>
        <cdr:cNvSpPr txBox="1"/>
      </cdr:nvSpPr>
      <cdr:spPr>
        <a:xfrm xmlns:a="http://schemas.openxmlformats.org/drawingml/2006/main">
          <a:off x="698500" y="2969419"/>
          <a:ext cx="5473700" cy="474214"/>
        </a:xfrm>
        <a:prstGeom xmlns:a="http://schemas.openxmlformats.org/drawingml/2006/main" prst="rect">
          <a:avLst/>
        </a:prstGeom>
        <a:ln xmlns:a="http://schemas.openxmlformats.org/drawingml/2006/main" w="9525">
          <a:noFill/>
        </a:ln>
      </cdr:spPr>
      <cdr:txBody>
        <a:bodyPr xmlns:a="http://schemas.openxmlformats.org/drawingml/2006/main" wrap="square" lIns="36000" tIns="108000" rIns="36000" bIns="36000" rtlCol="0" anchor="b">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Subscales</a:t>
          </a:r>
        </a:p>
      </cdr:txBody>
    </cdr:sp>
  </cdr:relSizeAnchor>
</c:userShapes>
</file>

<file path=xl/drawings/drawing22.xml><?xml version="1.0" encoding="utf-8"?>
<c:userShapes xmlns:c="http://schemas.openxmlformats.org/drawingml/2006/chart">
  <cdr:relSizeAnchor xmlns:cdr="http://schemas.openxmlformats.org/drawingml/2006/chartDrawing">
    <cdr:from>
      <cdr:x>0.07776</cdr:x>
      <cdr:y>0.76704</cdr:y>
    </cdr:from>
    <cdr:to>
      <cdr:x>0.11554</cdr:x>
      <cdr:y>0.836</cdr:y>
    </cdr:to>
    <cdr:sp macro="" textlink="">
      <cdr:nvSpPr>
        <cdr:cNvPr id="3" name="TextBox 2">
          <a:extLst xmlns:a="http://schemas.openxmlformats.org/drawingml/2006/main">
            <a:ext uri="{FF2B5EF4-FFF2-40B4-BE49-F238E27FC236}">
              <a16:creationId xmlns:a16="http://schemas.microsoft.com/office/drawing/2014/main" id="{1F000F5D-E676-DA4B-97BD-3B45A31CD1B9}"/>
            </a:ext>
          </a:extLst>
        </cdr:cNvPr>
        <cdr:cNvSpPr txBox="1"/>
      </cdr:nvSpPr>
      <cdr:spPr>
        <a:xfrm xmlns:a="http://schemas.openxmlformats.org/drawingml/2006/main">
          <a:off x="632470" y="2724045"/>
          <a:ext cx="307288" cy="244903"/>
        </a:xfrm>
        <a:prstGeom xmlns:a="http://schemas.openxmlformats.org/drawingml/2006/main" prst="rect">
          <a:avLst/>
        </a:prstGeom>
      </cdr:spPr>
      <cdr:txBody>
        <a:bodyPr xmlns:a="http://schemas.openxmlformats.org/drawingml/2006/main" vertOverflow="clip" horzOverflow="clip" wrap="none" lIns="36000" tIns="36000" rIns="36000" bIns="36000" rtlCol="0" anchor="ctr" anchorCtr="0">
          <a:spAutoFit/>
        </a:bodyPr>
        <a:lstStyle xmlns:a="http://schemas.openxmlformats.org/drawingml/2006/main"/>
        <a:p xmlns:a="http://schemas.openxmlformats.org/drawingml/2006/main">
          <a:r>
            <a:rPr lang="en-GB" sz="1100">
              <a:solidFill>
                <a:schemeClr val="accent4">
                  <a:lumMod val="50000"/>
                </a:schemeClr>
              </a:solidFill>
            </a:rPr>
            <a:t>Low</a:t>
          </a:r>
        </a:p>
      </cdr:txBody>
    </cdr:sp>
  </cdr:relSizeAnchor>
  <cdr:relSizeAnchor xmlns:cdr="http://schemas.openxmlformats.org/drawingml/2006/chartDrawing">
    <cdr:from>
      <cdr:x>0.07776</cdr:x>
      <cdr:y>0.12439</cdr:y>
    </cdr:from>
    <cdr:to>
      <cdr:x>0.11877</cdr:x>
      <cdr:y>0.19336</cdr:y>
    </cdr:to>
    <cdr:sp macro="" textlink="">
      <cdr:nvSpPr>
        <cdr:cNvPr id="4" name="TextBox 3">
          <a:extLst xmlns:a="http://schemas.openxmlformats.org/drawingml/2006/main">
            <a:ext uri="{FF2B5EF4-FFF2-40B4-BE49-F238E27FC236}">
              <a16:creationId xmlns:a16="http://schemas.microsoft.com/office/drawing/2014/main" id="{F4CC5B58-343B-6F40-8750-8C03C117A852}"/>
            </a:ext>
          </a:extLst>
        </cdr:cNvPr>
        <cdr:cNvSpPr txBox="1"/>
      </cdr:nvSpPr>
      <cdr:spPr>
        <a:xfrm xmlns:a="http://schemas.openxmlformats.org/drawingml/2006/main">
          <a:off x="632470" y="441755"/>
          <a:ext cx="333560" cy="244938"/>
        </a:xfrm>
        <a:prstGeom xmlns:a="http://schemas.openxmlformats.org/drawingml/2006/main" prst="rect">
          <a:avLst/>
        </a:prstGeom>
      </cdr:spPr>
      <cdr:txBody>
        <a:bodyPr xmlns:a="http://schemas.openxmlformats.org/drawingml/2006/main" vertOverflow="clip" horzOverflow="clip" wrap="none" lIns="36000" tIns="36000" rIns="36000" bIns="36000" rtlCol="0" anchor="ctr" anchorCtr="0">
          <a:spAutoFit/>
        </a:bodyPr>
        <a:lstStyle xmlns:a="http://schemas.openxmlformats.org/drawingml/2006/main"/>
        <a:p xmlns:a="http://schemas.openxmlformats.org/drawingml/2006/main">
          <a:r>
            <a:rPr lang="en-GB" sz="1100">
              <a:solidFill>
                <a:schemeClr val="accent4">
                  <a:lumMod val="50000"/>
                </a:schemeClr>
              </a:solidFill>
            </a:rPr>
            <a:t>High</a:t>
          </a:r>
        </a:p>
      </cdr:txBody>
    </cdr:sp>
  </cdr:relSizeAnchor>
</c:userShapes>
</file>

<file path=xl/drawings/drawing23.xml><?xml version="1.0" encoding="utf-8"?>
<c:userShapes xmlns:c="http://schemas.openxmlformats.org/drawingml/2006/chart">
  <cdr:relSizeAnchor xmlns:cdr="http://schemas.openxmlformats.org/drawingml/2006/chartDrawing">
    <cdr:from>
      <cdr:x>0.07807</cdr:x>
      <cdr:y>0.13095</cdr:y>
    </cdr:from>
    <cdr:to>
      <cdr:x>0.33071</cdr:x>
      <cdr:y>0.20098</cdr:y>
    </cdr:to>
    <cdr:sp macro="" textlink="">
      <cdr:nvSpPr>
        <cdr:cNvPr id="9" name="TextBox 2">
          <a:extLst xmlns:a="http://schemas.openxmlformats.org/drawingml/2006/main">
            <a:ext uri="{FF2B5EF4-FFF2-40B4-BE49-F238E27FC236}">
              <a16:creationId xmlns:a16="http://schemas.microsoft.com/office/drawing/2014/main" id="{CC13780D-6A98-094C-8999-20D30B48FC09}"/>
            </a:ext>
          </a:extLst>
        </cdr:cNvPr>
        <cdr:cNvSpPr txBox="1"/>
      </cdr:nvSpPr>
      <cdr:spPr>
        <a:xfrm xmlns:a="http://schemas.openxmlformats.org/drawingml/2006/main">
          <a:off x="634991" y="465292"/>
          <a:ext cx="2054877" cy="24883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AU" sz="1100" b="0" i="0" u="none" strike="noStrike">
              <a:solidFill>
                <a:schemeClr val="accent4">
                  <a:lumMod val="50000"/>
                </a:schemeClr>
              </a:solidFill>
              <a:effectLst/>
              <a:latin typeface="+mn-lt"/>
              <a:ea typeface="+mn-ea"/>
              <a:cs typeface="+mn-cs"/>
            </a:rPr>
            <a:t>Clinically elevated PTSD symptoms</a:t>
          </a:r>
          <a:endParaRPr lang="en-GB" sz="1100">
            <a:solidFill>
              <a:schemeClr val="accent4">
                <a:lumMod val="50000"/>
              </a:schemeClr>
            </a:solidFill>
          </a:endParaRPr>
        </a:p>
      </cdr:txBody>
    </cdr:sp>
  </cdr:relSizeAnchor>
  <cdr:relSizeAnchor xmlns:cdr="http://schemas.openxmlformats.org/drawingml/2006/chartDrawing">
    <cdr:from>
      <cdr:x>0.07807</cdr:x>
      <cdr:y>0.7606</cdr:y>
    </cdr:from>
    <cdr:to>
      <cdr:x>0.17802</cdr:x>
      <cdr:y>0.82705</cdr:y>
    </cdr:to>
    <cdr:sp macro="" textlink="">
      <cdr:nvSpPr>
        <cdr:cNvPr id="10" name="TextBox 2">
          <a:extLst xmlns:a="http://schemas.openxmlformats.org/drawingml/2006/main">
            <a:ext uri="{FF2B5EF4-FFF2-40B4-BE49-F238E27FC236}">
              <a16:creationId xmlns:a16="http://schemas.microsoft.com/office/drawing/2014/main" id="{14ABEA09-E4FC-5E4E-8517-C556F2A85949}"/>
            </a:ext>
          </a:extLst>
        </cdr:cNvPr>
        <cdr:cNvSpPr txBox="1"/>
      </cdr:nvSpPr>
      <cdr:spPr>
        <a:xfrm xmlns:a="http://schemas.openxmlformats.org/drawingml/2006/main">
          <a:off x="634991" y="2702564"/>
          <a:ext cx="812955" cy="23611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3">
                  <a:lumMod val="50000"/>
                </a:schemeClr>
              </a:solidFill>
            </a:rPr>
            <a:t>Not elevated</a:t>
          </a:r>
        </a:p>
      </cdr:txBody>
    </cdr:sp>
  </cdr:relSizeAnchor>
</c:userShapes>
</file>

<file path=xl/drawings/drawing24.xml><?xml version="1.0" encoding="utf-8"?>
<c:userShapes xmlns:c="http://schemas.openxmlformats.org/drawingml/2006/chart">
  <cdr:relSizeAnchor xmlns:cdr="http://schemas.openxmlformats.org/drawingml/2006/chartDrawing">
    <cdr:from>
      <cdr:x>0.07168</cdr:x>
      <cdr:y>0.83874</cdr:y>
    </cdr:from>
    <cdr:to>
      <cdr:x>0.98319</cdr:x>
      <cdr:y>0.97427</cdr:y>
    </cdr:to>
    <cdr:sp macro="" textlink="">
      <cdr:nvSpPr>
        <cdr:cNvPr id="5" name="TextBox 4">
          <a:extLst xmlns:a="http://schemas.openxmlformats.org/drawingml/2006/main">
            <a:ext uri="{FF2B5EF4-FFF2-40B4-BE49-F238E27FC236}">
              <a16:creationId xmlns:a16="http://schemas.microsoft.com/office/drawing/2014/main" id="{EC7F6CCA-7A7D-7842-9368-22D923C91FC5}"/>
            </a:ext>
          </a:extLst>
        </cdr:cNvPr>
        <cdr:cNvSpPr txBox="1"/>
      </cdr:nvSpPr>
      <cdr:spPr>
        <a:xfrm xmlns:a="http://schemas.openxmlformats.org/drawingml/2006/main">
          <a:off x="586154" y="2932032"/>
          <a:ext cx="7453923" cy="473780"/>
        </a:xfrm>
        <a:prstGeom xmlns:a="http://schemas.openxmlformats.org/drawingml/2006/main" prst="rect">
          <a:avLst/>
        </a:prstGeom>
        <a:ln xmlns:a="http://schemas.openxmlformats.org/drawingml/2006/main" w="9525">
          <a:noFill/>
        </a:ln>
      </cdr:spPr>
      <cdr:txBody>
        <a:bodyPr xmlns:a="http://schemas.openxmlformats.org/drawingml/2006/main" vertOverflow="clip" horzOverflow="clip" wrap="square" lIns="36000" tIns="108000" rIns="36000" bIns="36000" rtlCol="0">
          <a:spAutoFit/>
        </a:bodyPr>
        <a:lstStyle xmlns:a="http://schemas.openxmlformats.org/drawingml/2006/main"/>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Subscales</a:t>
          </a:r>
        </a:p>
      </cdr:txBody>
    </cdr:sp>
  </cdr:relSizeAnchor>
  <cdr:relSizeAnchor xmlns:cdr="http://schemas.openxmlformats.org/drawingml/2006/chartDrawing">
    <cdr:from>
      <cdr:x>0.0747</cdr:x>
      <cdr:y>0.67934</cdr:y>
    </cdr:from>
    <cdr:to>
      <cdr:x>0.11248</cdr:x>
      <cdr:y>0.74579</cdr:y>
    </cdr:to>
    <cdr:sp macro="" textlink="">
      <cdr:nvSpPr>
        <cdr:cNvPr id="6" name="TextBox 1">
          <a:extLst xmlns:a="http://schemas.openxmlformats.org/drawingml/2006/main">
            <a:ext uri="{FF2B5EF4-FFF2-40B4-BE49-F238E27FC236}">
              <a16:creationId xmlns:a16="http://schemas.microsoft.com/office/drawing/2014/main" id="{C9D81E97-7004-F344-867B-FF79354E3E61}"/>
            </a:ext>
          </a:extLst>
        </cdr:cNvPr>
        <cdr:cNvSpPr txBox="1"/>
      </cdr:nvSpPr>
      <cdr:spPr>
        <a:xfrm xmlns:a="http://schemas.openxmlformats.org/drawingml/2006/main">
          <a:off x="607581" y="2413831"/>
          <a:ext cx="307288" cy="23611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Low</a:t>
          </a:r>
        </a:p>
      </cdr:txBody>
    </cdr:sp>
  </cdr:relSizeAnchor>
  <cdr:relSizeAnchor xmlns:cdr="http://schemas.openxmlformats.org/drawingml/2006/chartDrawing">
    <cdr:from>
      <cdr:x>0.0747</cdr:x>
      <cdr:y>0.12155</cdr:y>
    </cdr:from>
    <cdr:to>
      <cdr:x>0.11571</cdr:x>
      <cdr:y>0.188</cdr:y>
    </cdr:to>
    <cdr:sp macro="" textlink="">
      <cdr:nvSpPr>
        <cdr:cNvPr id="7" name="TextBox 2">
          <a:extLst xmlns:a="http://schemas.openxmlformats.org/drawingml/2006/main">
            <a:ext uri="{FF2B5EF4-FFF2-40B4-BE49-F238E27FC236}">
              <a16:creationId xmlns:a16="http://schemas.microsoft.com/office/drawing/2014/main" id="{E6925C8E-34C2-B645-A1AD-5BB102E0A2C4}"/>
            </a:ext>
          </a:extLst>
        </cdr:cNvPr>
        <cdr:cNvSpPr txBox="1"/>
      </cdr:nvSpPr>
      <cdr:spPr>
        <a:xfrm xmlns:a="http://schemas.openxmlformats.org/drawingml/2006/main">
          <a:off x="607581" y="431891"/>
          <a:ext cx="333560" cy="236111"/>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High</a:t>
          </a:r>
        </a:p>
      </cdr:txBody>
    </cdr:sp>
  </cdr:relSizeAnchor>
</c:userShapes>
</file>

<file path=xl/drawings/drawing25.xml><?xml version="1.0" encoding="utf-8"?>
<c:userShapes xmlns:c="http://schemas.openxmlformats.org/drawingml/2006/chart">
  <cdr:relSizeAnchor xmlns:cdr="http://schemas.openxmlformats.org/drawingml/2006/chartDrawing">
    <cdr:from>
      <cdr:x>0.07168</cdr:x>
      <cdr:y>0.83874</cdr:y>
    </cdr:from>
    <cdr:to>
      <cdr:x>0.7245</cdr:x>
      <cdr:y>0.95842</cdr:y>
    </cdr:to>
    <cdr:sp macro="" textlink="">
      <cdr:nvSpPr>
        <cdr:cNvPr id="2" name="TextBox 4">
          <a:extLst xmlns:a="http://schemas.openxmlformats.org/drawingml/2006/main">
            <a:ext uri="{FF2B5EF4-FFF2-40B4-BE49-F238E27FC236}">
              <a16:creationId xmlns:a16="http://schemas.microsoft.com/office/drawing/2014/main" id="{EC7F6CCA-7A7D-7842-9368-22D923C91FC5}"/>
            </a:ext>
          </a:extLst>
        </cdr:cNvPr>
        <cdr:cNvSpPr txBox="1"/>
      </cdr:nvSpPr>
      <cdr:spPr>
        <a:xfrm xmlns:a="http://schemas.openxmlformats.org/drawingml/2006/main">
          <a:off x="583019" y="3323423"/>
          <a:ext cx="5309782" cy="474214"/>
        </a:xfrm>
        <a:prstGeom xmlns:a="http://schemas.openxmlformats.org/drawingml/2006/main" prst="rect">
          <a:avLst/>
        </a:prstGeom>
        <a:ln xmlns:a="http://schemas.openxmlformats.org/drawingml/2006/main" w="9525">
          <a:noFill/>
        </a:ln>
      </cdr:spPr>
      <cdr:txBody>
        <a:bodyPr xmlns:a="http://schemas.openxmlformats.org/drawingml/2006/main" vertOverflow="clip" horzOverflow="clip" wrap="square" lIns="36000" tIns="108000" rIns="36000" bIns="36000" rtlCol="0">
          <a:spAutoFit/>
        </a:bodyPr>
        <a:lstStyle xmlns:a="http://schemas.openxmlformats.org/drawingml/2006/main"/>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Subscales</a:t>
          </a:r>
        </a:p>
      </cdr:txBody>
    </cdr:sp>
  </cdr:relSizeAnchor>
  <cdr:relSizeAnchor xmlns:cdr="http://schemas.openxmlformats.org/drawingml/2006/chartDrawing">
    <cdr:from>
      <cdr:x>0.83223</cdr:x>
      <cdr:y>0.12863</cdr:y>
    </cdr:from>
    <cdr:to>
      <cdr:x>0.98057</cdr:x>
      <cdr:y>0.28479</cdr:y>
    </cdr:to>
    <cdr:sp macro="" textlink="">
      <cdr:nvSpPr>
        <cdr:cNvPr id="14" name="TextBox 1">
          <a:extLst xmlns:a="http://schemas.openxmlformats.org/drawingml/2006/main">
            <a:ext uri="{FF2B5EF4-FFF2-40B4-BE49-F238E27FC236}">
              <a16:creationId xmlns:a16="http://schemas.microsoft.com/office/drawing/2014/main" id="{ACE3E927-E3F8-EFD5-CB99-AC3D211CAC74}"/>
            </a:ext>
          </a:extLst>
        </cdr:cNvPr>
        <cdr:cNvSpPr txBox="1"/>
      </cdr:nvSpPr>
      <cdr:spPr>
        <a:xfrm xmlns:a="http://schemas.openxmlformats.org/drawingml/2006/main">
          <a:off x="6769040" y="457058"/>
          <a:ext cx="1206541" cy="554867"/>
        </a:xfrm>
        <a:prstGeom xmlns:a="http://schemas.openxmlformats.org/drawingml/2006/main" prst="rect">
          <a:avLst/>
        </a:prstGeom>
      </cdr:spPr>
      <cdr:txBody>
        <a:bodyPr xmlns:a="http://schemas.openxmlformats.org/drawingml/2006/main" wrap="squar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Clinically elevated eating disorder symptoms</a:t>
          </a:r>
        </a:p>
      </cdr:txBody>
    </cdr:sp>
  </cdr:relSizeAnchor>
  <cdr:relSizeAnchor xmlns:cdr="http://schemas.openxmlformats.org/drawingml/2006/chartDrawing">
    <cdr:from>
      <cdr:x>0.83223</cdr:x>
      <cdr:y>0.77219</cdr:y>
    </cdr:from>
    <cdr:to>
      <cdr:x>0.93218</cdr:x>
      <cdr:y>0.83401</cdr:y>
    </cdr:to>
    <cdr:sp macro="" textlink="">
      <cdr:nvSpPr>
        <cdr:cNvPr id="15" name="TextBox 2">
          <a:extLst xmlns:a="http://schemas.openxmlformats.org/drawingml/2006/main">
            <a:ext uri="{FF2B5EF4-FFF2-40B4-BE49-F238E27FC236}">
              <a16:creationId xmlns:a16="http://schemas.microsoft.com/office/drawing/2014/main" id="{27078948-E8D3-4806-5FF7-C3C31E3F4575}"/>
            </a:ext>
          </a:extLst>
        </cdr:cNvPr>
        <cdr:cNvSpPr txBox="1"/>
      </cdr:nvSpPr>
      <cdr:spPr>
        <a:xfrm xmlns:a="http://schemas.openxmlformats.org/drawingml/2006/main">
          <a:off x="6769040" y="2743756"/>
          <a:ext cx="812955" cy="21966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3">
                  <a:lumMod val="50000"/>
                </a:schemeClr>
              </a:solidFill>
            </a:rPr>
            <a:t>Not elevated</a:t>
          </a:r>
        </a:p>
      </cdr:txBody>
    </cdr:sp>
  </cdr:relSizeAnchor>
  <cdr:relSizeAnchor xmlns:cdr="http://schemas.openxmlformats.org/drawingml/2006/chartDrawing">
    <cdr:from>
      <cdr:x>0.82911</cdr:x>
      <cdr:y>0.8498</cdr:y>
    </cdr:from>
    <cdr:to>
      <cdr:x>0.9837</cdr:x>
      <cdr:y>0.98657</cdr:y>
    </cdr:to>
    <cdr:sp macro="" textlink="">
      <cdr:nvSpPr>
        <cdr:cNvPr id="16" name="TextBox 4">
          <a:extLst xmlns:a="http://schemas.openxmlformats.org/drawingml/2006/main">
            <a:ext uri="{FF2B5EF4-FFF2-40B4-BE49-F238E27FC236}">
              <a16:creationId xmlns:a16="http://schemas.microsoft.com/office/drawing/2014/main" id="{7325487F-95E0-34A2-A6A7-E800EE3B6904}"/>
            </a:ext>
          </a:extLst>
        </cdr:cNvPr>
        <cdr:cNvSpPr txBox="1"/>
      </cdr:nvSpPr>
      <cdr:spPr>
        <a:xfrm xmlns:a="http://schemas.openxmlformats.org/drawingml/2006/main">
          <a:off x="6743663" y="3019494"/>
          <a:ext cx="1257376" cy="486000"/>
        </a:xfrm>
        <a:prstGeom xmlns:a="http://schemas.openxmlformats.org/drawingml/2006/main" prst="rect">
          <a:avLst/>
        </a:prstGeom>
        <a:ln xmlns:a="http://schemas.openxmlformats.org/drawingml/2006/main" w="9525">
          <a:noFill/>
        </a:ln>
      </cdr:spPr>
      <cdr:txBody>
        <a:bodyPr xmlns:a="http://schemas.openxmlformats.org/drawingml/2006/main" wrap="square" lIns="36000" tIns="108000" rIns="36000" bIns="36000"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Composite</a:t>
          </a:r>
        </a:p>
      </cdr:txBody>
    </cdr:sp>
  </cdr:relSizeAnchor>
  <cdr:relSizeAnchor xmlns:cdr="http://schemas.openxmlformats.org/drawingml/2006/chartDrawing">
    <cdr:from>
      <cdr:x>0.0687</cdr:x>
      <cdr:y>0.8498</cdr:y>
    </cdr:from>
    <cdr:to>
      <cdr:x>0.68078</cdr:x>
      <cdr:y>0.98657</cdr:y>
    </cdr:to>
    <cdr:sp macro="" textlink="">
      <cdr:nvSpPr>
        <cdr:cNvPr id="3" name="TextBox 4">
          <a:extLst xmlns:a="http://schemas.openxmlformats.org/drawingml/2006/main">
            <a:ext uri="{FF2B5EF4-FFF2-40B4-BE49-F238E27FC236}">
              <a16:creationId xmlns:a16="http://schemas.microsoft.com/office/drawing/2014/main" id="{5AE7A736-9DC5-46FC-1E3A-EA7FBD57AB07}"/>
            </a:ext>
          </a:extLst>
        </cdr:cNvPr>
        <cdr:cNvSpPr txBox="1"/>
      </cdr:nvSpPr>
      <cdr:spPr>
        <a:xfrm xmlns:a="http://schemas.openxmlformats.org/drawingml/2006/main">
          <a:off x="558800" y="3019494"/>
          <a:ext cx="4978400" cy="486000"/>
        </a:xfrm>
        <a:prstGeom xmlns:a="http://schemas.openxmlformats.org/drawingml/2006/main" prst="rect">
          <a:avLst/>
        </a:prstGeom>
        <a:ln xmlns:a="http://schemas.openxmlformats.org/drawingml/2006/main" w="9525">
          <a:noFill/>
        </a:ln>
      </cdr:spPr>
      <cdr:txBody>
        <a:bodyPr xmlns:a="http://schemas.openxmlformats.org/drawingml/2006/main" wrap="square" lIns="36000" tIns="108000" rIns="36000" bIns="36000"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Subscales</a:t>
          </a:r>
        </a:p>
      </cdr:txBody>
    </cdr:sp>
  </cdr:relSizeAnchor>
</c:userShapes>
</file>

<file path=xl/drawings/drawing26.xml><?xml version="1.0" encoding="utf-8"?>
<c:userShapes xmlns:c="http://schemas.openxmlformats.org/drawingml/2006/chart">
  <cdr:relSizeAnchor xmlns:cdr="http://schemas.openxmlformats.org/drawingml/2006/chartDrawing">
    <cdr:from>
      <cdr:x>0.07807</cdr:x>
      <cdr:y>0.1273</cdr:y>
    </cdr:from>
    <cdr:to>
      <cdr:x>0.40144</cdr:x>
      <cdr:y>0.19737</cdr:y>
    </cdr:to>
    <cdr:sp macro="" textlink="">
      <cdr:nvSpPr>
        <cdr:cNvPr id="9" name="TextBox 2">
          <a:extLst xmlns:a="http://schemas.openxmlformats.org/drawingml/2006/main">
            <a:ext uri="{FF2B5EF4-FFF2-40B4-BE49-F238E27FC236}">
              <a16:creationId xmlns:a16="http://schemas.microsoft.com/office/drawing/2014/main" id="{CC13780D-6A98-094C-8999-20D30B48FC09}"/>
            </a:ext>
          </a:extLst>
        </cdr:cNvPr>
        <cdr:cNvSpPr txBox="1"/>
      </cdr:nvSpPr>
      <cdr:spPr>
        <a:xfrm xmlns:a="http://schemas.openxmlformats.org/drawingml/2006/main">
          <a:off x="634991" y="452322"/>
          <a:ext cx="2630168" cy="248973"/>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AU" sz="1100" b="0" i="0" u="none" strike="noStrike">
              <a:solidFill>
                <a:schemeClr val="accent4">
                  <a:lumMod val="50000"/>
                </a:schemeClr>
              </a:solidFill>
              <a:effectLst/>
              <a:latin typeface="+mn-lt"/>
              <a:ea typeface="+mn-ea"/>
              <a:cs typeface="+mn-cs"/>
            </a:rPr>
            <a:t>Clinically elevated eating disorder symptoms</a:t>
          </a:r>
        </a:p>
      </cdr:txBody>
    </cdr:sp>
  </cdr:relSizeAnchor>
  <cdr:relSizeAnchor xmlns:cdr="http://schemas.openxmlformats.org/drawingml/2006/chartDrawing">
    <cdr:from>
      <cdr:x>0.07807</cdr:x>
      <cdr:y>0.7606</cdr:y>
    </cdr:from>
    <cdr:to>
      <cdr:x>0.17802</cdr:x>
      <cdr:y>0.82705</cdr:y>
    </cdr:to>
    <cdr:sp macro="" textlink="">
      <cdr:nvSpPr>
        <cdr:cNvPr id="10" name="TextBox 2">
          <a:extLst xmlns:a="http://schemas.openxmlformats.org/drawingml/2006/main">
            <a:ext uri="{FF2B5EF4-FFF2-40B4-BE49-F238E27FC236}">
              <a16:creationId xmlns:a16="http://schemas.microsoft.com/office/drawing/2014/main" id="{14ABEA09-E4FC-5E4E-8517-C556F2A85949}"/>
            </a:ext>
          </a:extLst>
        </cdr:cNvPr>
        <cdr:cNvSpPr txBox="1"/>
      </cdr:nvSpPr>
      <cdr:spPr>
        <a:xfrm xmlns:a="http://schemas.openxmlformats.org/drawingml/2006/main">
          <a:off x="634991" y="2702564"/>
          <a:ext cx="812955" cy="236110"/>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3">
                  <a:lumMod val="50000"/>
                </a:schemeClr>
              </a:solidFill>
            </a:rPr>
            <a:t>Not elevated</a:t>
          </a:r>
        </a:p>
      </cdr:txBody>
    </cdr:sp>
  </cdr:relSizeAnchor>
</c:userShapes>
</file>

<file path=xl/drawings/drawing27.xml><?xml version="1.0" encoding="utf-8"?>
<c:userShapes xmlns:c="http://schemas.openxmlformats.org/drawingml/2006/chart">
  <cdr:relSizeAnchor xmlns:cdr="http://schemas.openxmlformats.org/drawingml/2006/chartDrawing">
    <cdr:from>
      <cdr:x>0.07807</cdr:x>
      <cdr:y>0.54998</cdr:y>
    </cdr:from>
    <cdr:to>
      <cdr:x>0.21265</cdr:x>
      <cdr:y>0.62005</cdr:y>
    </cdr:to>
    <cdr:sp macro="" textlink="">
      <cdr:nvSpPr>
        <cdr:cNvPr id="6" name="TextBox 1">
          <a:extLst xmlns:a="http://schemas.openxmlformats.org/drawingml/2006/main">
            <a:ext uri="{FF2B5EF4-FFF2-40B4-BE49-F238E27FC236}">
              <a16:creationId xmlns:a16="http://schemas.microsoft.com/office/drawing/2014/main" id="{C9D81E97-7004-F344-867B-FF79354E3E61}"/>
            </a:ext>
          </a:extLst>
        </cdr:cNvPr>
        <cdr:cNvSpPr txBox="1"/>
      </cdr:nvSpPr>
      <cdr:spPr>
        <a:xfrm xmlns:a="http://schemas.openxmlformats.org/drawingml/2006/main">
          <a:off x="635003" y="1954179"/>
          <a:ext cx="1094623" cy="248973"/>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5">
                  <a:lumMod val="50000"/>
                </a:schemeClr>
              </a:solidFill>
            </a:rPr>
            <a:t>Moderate anxiety</a:t>
          </a:r>
        </a:p>
      </cdr:txBody>
    </cdr:sp>
  </cdr:relSizeAnchor>
  <cdr:relSizeAnchor xmlns:cdr="http://schemas.openxmlformats.org/drawingml/2006/chartDrawing">
    <cdr:from>
      <cdr:x>0.07807</cdr:x>
      <cdr:y>0.13064</cdr:y>
    </cdr:from>
    <cdr:to>
      <cdr:x>0.18989</cdr:x>
      <cdr:y>0.20071</cdr:y>
    </cdr:to>
    <cdr:sp macro="" textlink="">
      <cdr:nvSpPr>
        <cdr:cNvPr id="7" name="TextBox 2">
          <a:extLst xmlns:a="http://schemas.openxmlformats.org/drawingml/2006/main">
            <a:ext uri="{FF2B5EF4-FFF2-40B4-BE49-F238E27FC236}">
              <a16:creationId xmlns:a16="http://schemas.microsoft.com/office/drawing/2014/main" id="{E6925C8E-34C2-B645-A1AD-5BB102E0A2C4}"/>
            </a:ext>
          </a:extLst>
        </cdr:cNvPr>
        <cdr:cNvSpPr txBox="1"/>
      </cdr:nvSpPr>
      <cdr:spPr>
        <a:xfrm xmlns:a="http://schemas.openxmlformats.org/drawingml/2006/main">
          <a:off x="635003" y="464190"/>
          <a:ext cx="909501" cy="248973"/>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tx1"/>
              </a:solidFill>
            </a:rPr>
            <a:t>Severe anxiety</a:t>
          </a:r>
        </a:p>
      </cdr:txBody>
    </cdr:sp>
  </cdr:relSizeAnchor>
  <cdr:relSizeAnchor xmlns:cdr="http://schemas.openxmlformats.org/drawingml/2006/chartDrawing">
    <cdr:from>
      <cdr:x>0.07807</cdr:x>
      <cdr:y>0.65923</cdr:y>
    </cdr:from>
    <cdr:to>
      <cdr:x>0.17404</cdr:x>
      <cdr:y>0.7293</cdr:y>
    </cdr:to>
    <cdr:sp macro="" textlink="">
      <cdr:nvSpPr>
        <cdr:cNvPr id="9" name="TextBox 2">
          <a:extLst xmlns:a="http://schemas.openxmlformats.org/drawingml/2006/main">
            <a:ext uri="{FF2B5EF4-FFF2-40B4-BE49-F238E27FC236}">
              <a16:creationId xmlns:a16="http://schemas.microsoft.com/office/drawing/2014/main" id="{CC13780D-6A98-094C-8999-20D30B48FC09}"/>
            </a:ext>
          </a:extLst>
        </cdr:cNvPr>
        <cdr:cNvSpPr txBox="1"/>
      </cdr:nvSpPr>
      <cdr:spPr>
        <a:xfrm xmlns:a="http://schemas.openxmlformats.org/drawingml/2006/main">
          <a:off x="635003" y="2342377"/>
          <a:ext cx="780584" cy="248973"/>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Mild</a:t>
          </a:r>
          <a:r>
            <a:rPr lang="en-GB" sz="1100" baseline="0">
              <a:solidFill>
                <a:schemeClr val="accent4">
                  <a:lumMod val="50000"/>
                </a:schemeClr>
              </a:solidFill>
            </a:rPr>
            <a:t> anxiety</a:t>
          </a:r>
          <a:endParaRPr lang="en-GB" sz="1100">
            <a:solidFill>
              <a:schemeClr val="accent4">
                <a:lumMod val="50000"/>
              </a:schemeClr>
            </a:solidFill>
          </a:endParaRPr>
        </a:p>
      </cdr:txBody>
    </cdr:sp>
  </cdr:relSizeAnchor>
  <cdr:relSizeAnchor xmlns:cdr="http://schemas.openxmlformats.org/drawingml/2006/chartDrawing">
    <cdr:from>
      <cdr:x>0.07807</cdr:x>
      <cdr:y>0.75127</cdr:y>
    </cdr:from>
    <cdr:to>
      <cdr:x>0.20018</cdr:x>
      <cdr:y>0.82134</cdr:y>
    </cdr:to>
    <cdr:sp macro="" textlink="">
      <cdr:nvSpPr>
        <cdr:cNvPr id="10" name="TextBox 2">
          <a:extLst xmlns:a="http://schemas.openxmlformats.org/drawingml/2006/main">
            <a:ext uri="{FF2B5EF4-FFF2-40B4-BE49-F238E27FC236}">
              <a16:creationId xmlns:a16="http://schemas.microsoft.com/office/drawing/2014/main" id="{14ABEA09-E4FC-5E4E-8517-C556F2A85949}"/>
            </a:ext>
          </a:extLst>
        </cdr:cNvPr>
        <cdr:cNvSpPr txBox="1"/>
      </cdr:nvSpPr>
      <cdr:spPr>
        <a:xfrm xmlns:a="http://schemas.openxmlformats.org/drawingml/2006/main">
          <a:off x="635003" y="2669408"/>
          <a:ext cx="993196" cy="248973"/>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3">
                  <a:lumMod val="50000"/>
                </a:schemeClr>
              </a:solidFill>
            </a:rPr>
            <a:t>Minimal anxiety</a:t>
          </a:r>
        </a:p>
      </cdr:txBody>
    </cdr:sp>
  </cdr:relSizeAnchor>
</c:userShapes>
</file>

<file path=xl/drawings/drawing28.xml><?xml version="1.0" encoding="utf-8"?>
<c:userShapes xmlns:c="http://schemas.openxmlformats.org/drawingml/2006/chart">
  <cdr:relSizeAnchor xmlns:cdr="http://schemas.openxmlformats.org/drawingml/2006/chartDrawing">
    <cdr:from>
      <cdr:x>0.07807</cdr:x>
      <cdr:y>0.51717</cdr:y>
    </cdr:from>
    <cdr:to>
      <cdr:x>0.15752</cdr:x>
      <cdr:y>0.58723</cdr:y>
    </cdr:to>
    <cdr:sp macro="" textlink="">
      <cdr:nvSpPr>
        <cdr:cNvPr id="6" name="TextBox 1">
          <a:extLst xmlns:a="http://schemas.openxmlformats.org/drawingml/2006/main">
            <a:ext uri="{FF2B5EF4-FFF2-40B4-BE49-F238E27FC236}">
              <a16:creationId xmlns:a16="http://schemas.microsoft.com/office/drawing/2014/main" id="{C9D81E97-7004-F344-867B-FF79354E3E61}"/>
            </a:ext>
          </a:extLst>
        </cdr:cNvPr>
        <cdr:cNvSpPr txBox="1"/>
      </cdr:nvSpPr>
      <cdr:spPr>
        <a:xfrm xmlns:a="http://schemas.openxmlformats.org/drawingml/2006/main">
          <a:off x="635003" y="1807897"/>
          <a:ext cx="646216" cy="244913"/>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5">
                  <a:lumMod val="50000"/>
                </a:schemeClr>
              </a:solidFill>
            </a:rPr>
            <a:t>Moderate</a:t>
          </a:r>
        </a:p>
      </cdr:txBody>
    </cdr:sp>
  </cdr:relSizeAnchor>
  <cdr:relSizeAnchor xmlns:cdr="http://schemas.openxmlformats.org/drawingml/2006/chartDrawing">
    <cdr:from>
      <cdr:x>0.07807</cdr:x>
      <cdr:y>0.13064</cdr:y>
    </cdr:from>
    <cdr:to>
      <cdr:x>0.13476</cdr:x>
      <cdr:y>0.20071</cdr:y>
    </cdr:to>
    <cdr:sp macro="" textlink="">
      <cdr:nvSpPr>
        <cdr:cNvPr id="7" name="TextBox 2">
          <a:extLst xmlns:a="http://schemas.openxmlformats.org/drawingml/2006/main">
            <a:ext uri="{FF2B5EF4-FFF2-40B4-BE49-F238E27FC236}">
              <a16:creationId xmlns:a16="http://schemas.microsoft.com/office/drawing/2014/main" id="{E6925C8E-34C2-B645-A1AD-5BB102E0A2C4}"/>
            </a:ext>
          </a:extLst>
        </cdr:cNvPr>
        <cdr:cNvSpPr txBox="1"/>
      </cdr:nvSpPr>
      <cdr:spPr>
        <a:xfrm xmlns:a="http://schemas.openxmlformats.org/drawingml/2006/main">
          <a:off x="635003" y="456686"/>
          <a:ext cx="461094" cy="244948"/>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tx1"/>
              </a:solidFill>
            </a:rPr>
            <a:t>Severe</a:t>
          </a:r>
        </a:p>
      </cdr:txBody>
    </cdr:sp>
  </cdr:relSizeAnchor>
  <cdr:relSizeAnchor xmlns:cdr="http://schemas.openxmlformats.org/drawingml/2006/chartDrawing">
    <cdr:from>
      <cdr:x>0.07807</cdr:x>
      <cdr:y>0.61552</cdr:y>
    </cdr:from>
    <cdr:to>
      <cdr:x>0.11891</cdr:x>
      <cdr:y>0.68559</cdr:y>
    </cdr:to>
    <cdr:sp macro="" textlink="">
      <cdr:nvSpPr>
        <cdr:cNvPr id="9" name="TextBox 2">
          <a:extLst xmlns:a="http://schemas.openxmlformats.org/drawingml/2006/main">
            <a:ext uri="{FF2B5EF4-FFF2-40B4-BE49-F238E27FC236}">
              <a16:creationId xmlns:a16="http://schemas.microsoft.com/office/drawing/2014/main" id="{CC13780D-6A98-094C-8999-20D30B48FC09}"/>
            </a:ext>
          </a:extLst>
        </cdr:cNvPr>
        <cdr:cNvSpPr txBox="1"/>
      </cdr:nvSpPr>
      <cdr:spPr>
        <a:xfrm xmlns:a="http://schemas.openxmlformats.org/drawingml/2006/main">
          <a:off x="635003" y="2151695"/>
          <a:ext cx="332177" cy="244948"/>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Mild</a:t>
          </a:r>
        </a:p>
      </cdr:txBody>
    </cdr:sp>
  </cdr:relSizeAnchor>
  <cdr:relSizeAnchor xmlns:cdr="http://schemas.openxmlformats.org/drawingml/2006/chartDrawing">
    <cdr:from>
      <cdr:x>0.07807</cdr:x>
      <cdr:y>0.68769</cdr:y>
    </cdr:from>
    <cdr:to>
      <cdr:x>0.14505</cdr:x>
      <cdr:y>0.75413</cdr:y>
    </cdr:to>
    <cdr:sp macro="" textlink="">
      <cdr:nvSpPr>
        <cdr:cNvPr id="10" name="TextBox 2">
          <a:extLst xmlns:a="http://schemas.openxmlformats.org/drawingml/2006/main">
            <a:ext uri="{FF2B5EF4-FFF2-40B4-BE49-F238E27FC236}">
              <a16:creationId xmlns:a16="http://schemas.microsoft.com/office/drawing/2014/main" id="{14ABEA09-E4FC-5E4E-8517-C556F2A85949}"/>
            </a:ext>
          </a:extLst>
        </cdr:cNvPr>
        <cdr:cNvSpPr txBox="1"/>
      </cdr:nvSpPr>
      <cdr:spPr>
        <a:xfrm xmlns:a="http://schemas.openxmlformats.org/drawingml/2006/main">
          <a:off x="635003" y="2404008"/>
          <a:ext cx="544790" cy="232258"/>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3">
                  <a:lumMod val="50000"/>
                </a:schemeClr>
              </a:solidFill>
            </a:rPr>
            <a:t>Minimal</a:t>
          </a:r>
        </a:p>
      </cdr:txBody>
    </cdr:sp>
  </cdr:relSizeAnchor>
</c:userShapes>
</file>

<file path=xl/drawings/drawing29.xml><?xml version="1.0" encoding="utf-8"?>
<c:userShapes xmlns:c="http://schemas.openxmlformats.org/drawingml/2006/chart">
  <cdr:relSizeAnchor xmlns:cdr="http://schemas.openxmlformats.org/drawingml/2006/chartDrawing">
    <cdr:from>
      <cdr:x>0.09993</cdr:x>
      <cdr:y>0.83874</cdr:y>
    </cdr:from>
    <cdr:to>
      <cdr:x>0.97901</cdr:x>
      <cdr:y>0.95133</cdr:y>
    </cdr:to>
    <cdr:sp macro="" textlink="">
      <cdr:nvSpPr>
        <cdr:cNvPr id="2" name="TextBox 4">
          <a:extLst xmlns:a="http://schemas.openxmlformats.org/drawingml/2006/main">
            <a:ext uri="{FF2B5EF4-FFF2-40B4-BE49-F238E27FC236}">
              <a16:creationId xmlns:a16="http://schemas.microsoft.com/office/drawing/2014/main" id="{EC7F6CCA-7A7D-7842-9368-22D923C91FC5}"/>
            </a:ext>
          </a:extLst>
        </cdr:cNvPr>
        <cdr:cNvSpPr txBox="1"/>
      </cdr:nvSpPr>
      <cdr:spPr>
        <a:xfrm xmlns:a="http://schemas.openxmlformats.org/drawingml/2006/main">
          <a:off x="812800" y="3532773"/>
          <a:ext cx="7150100" cy="474214"/>
        </a:xfrm>
        <a:prstGeom xmlns:a="http://schemas.openxmlformats.org/drawingml/2006/main" prst="rect">
          <a:avLst/>
        </a:prstGeom>
        <a:ln xmlns:a="http://schemas.openxmlformats.org/drawingml/2006/main" w="9525">
          <a:noFill/>
        </a:ln>
      </cdr:spPr>
      <cdr:txBody>
        <a:bodyPr xmlns:a="http://schemas.openxmlformats.org/drawingml/2006/main" vertOverflow="clip" horzOverflow="clip" wrap="square" lIns="36000" tIns="108000" rIns="36000" bIns="36000" rtlCol="0">
          <a:spAutoFit/>
        </a:bodyPr>
        <a:lstStyle xmlns:a="http://schemas.openxmlformats.org/drawingml/2006/main"/>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Subscales</a:t>
          </a:r>
        </a:p>
      </cdr:txBody>
    </cdr:sp>
  </cdr:relSizeAnchor>
  <cdr:relSizeAnchor xmlns:cdr="http://schemas.openxmlformats.org/drawingml/2006/chartDrawing">
    <cdr:from>
      <cdr:x>0.09837</cdr:x>
      <cdr:y>0.20825</cdr:y>
    </cdr:from>
    <cdr:to>
      <cdr:x>0.16809</cdr:x>
      <cdr:y>0.26431</cdr:y>
    </cdr:to>
    <cdr:sp macro="" textlink="">
      <cdr:nvSpPr>
        <cdr:cNvPr id="14" name="TextBox 1">
          <a:extLst xmlns:a="http://schemas.openxmlformats.org/drawingml/2006/main">
            <a:ext uri="{FF2B5EF4-FFF2-40B4-BE49-F238E27FC236}">
              <a16:creationId xmlns:a16="http://schemas.microsoft.com/office/drawing/2014/main" id="{ACE3E927-E3F8-EFD5-CB99-AC3D211CAC74}"/>
            </a:ext>
          </a:extLst>
        </cdr:cNvPr>
        <cdr:cNvSpPr txBox="1"/>
      </cdr:nvSpPr>
      <cdr:spPr>
        <a:xfrm xmlns:a="http://schemas.openxmlformats.org/drawingml/2006/main">
          <a:off x="800115" y="877152"/>
          <a:ext cx="567076" cy="236125"/>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GB" sz="1100">
              <a:solidFill>
                <a:schemeClr val="accent4">
                  <a:lumMod val="50000"/>
                </a:schemeClr>
              </a:solidFill>
            </a:rPr>
            <a:t>Elevated</a:t>
          </a:r>
        </a:p>
      </cdr:txBody>
    </cdr:sp>
  </cdr:relSizeAnchor>
  <cdr:relSizeAnchor xmlns:cdr="http://schemas.openxmlformats.org/drawingml/2006/chartDrawing">
    <cdr:from>
      <cdr:x>0.09837</cdr:x>
      <cdr:y>0.56253</cdr:y>
    </cdr:from>
    <cdr:to>
      <cdr:x>0.19832</cdr:x>
      <cdr:y>0.6186</cdr:y>
    </cdr:to>
    <cdr:sp macro="" textlink="">
      <cdr:nvSpPr>
        <cdr:cNvPr id="3" name="TextBox 1">
          <a:extLst xmlns:a="http://schemas.openxmlformats.org/drawingml/2006/main">
            <a:ext uri="{FF2B5EF4-FFF2-40B4-BE49-F238E27FC236}">
              <a16:creationId xmlns:a16="http://schemas.microsoft.com/office/drawing/2014/main" id="{B0D02803-C033-07B4-CE52-6EF40E6C4FDB}"/>
            </a:ext>
          </a:extLst>
        </cdr:cNvPr>
        <cdr:cNvSpPr txBox="1"/>
      </cdr:nvSpPr>
      <cdr:spPr>
        <a:xfrm xmlns:a="http://schemas.openxmlformats.org/drawingml/2006/main">
          <a:off x="800115" y="2369360"/>
          <a:ext cx="812955" cy="236166"/>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GB" sz="1100">
              <a:solidFill>
                <a:schemeClr val="accent3">
                  <a:lumMod val="50000"/>
                </a:schemeClr>
              </a:solidFill>
            </a:rPr>
            <a:t>Not elevated</a:t>
          </a:r>
        </a:p>
      </cdr:txBody>
    </cdr:sp>
  </cdr:relSizeAnchor>
  <cdr:relSizeAnchor xmlns:cdr="http://schemas.openxmlformats.org/drawingml/2006/chartDrawing">
    <cdr:from>
      <cdr:x>0.09837</cdr:x>
      <cdr:y>0.10945</cdr:y>
    </cdr:from>
    <cdr:to>
      <cdr:x>0.21607</cdr:x>
      <cdr:y>0.16551</cdr:y>
    </cdr:to>
    <cdr:sp macro="" textlink="">
      <cdr:nvSpPr>
        <cdr:cNvPr id="4" name="TextBox 1">
          <a:extLst xmlns:a="http://schemas.openxmlformats.org/drawingml/2006/main">
            <a:ext uri="{FF2B5EF4-FFF2-40B4-BE49-F238E27FC236}">
              <a16:creationId xmlns:a16="http://schemas.microsoft.com/office/drawing/2014/main" id="{6B551077-A6C9-F7D4-2D27-08B09BED0DD2}"/>
            </a:ext>
          </a:extLst>
        </cdr:cNvPr>
        <cdr:cNvSpPr txBox="1"/>
      </cdr:nvSpPr>
      <cdr:spPr>
        <a:xfrm xmlns:a="http://schemas.openxmlformats.org/drawingml/2006/main">
          <a:off x="800115" y="461007"/>
          <a:ext cx="957327" cy="236125"/>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GB" sz="1100">
              <a:solidFill>
                <a:schemeClr val="accent5">
                  <a:lumMod val="50000"/>
                </a:schemeClr>
              </a:solidFill>
            </a:rPr>
            <a:t>Highly elevated</a:t>
          </a:r>
        </a:p>
      </cdr:txBody>
    </cdr:sp>
  </cdr:relSizeAnchor>
</c:userShapes>
</file>

<file path=xl/drawings/drawing30.xml><?xml version="1.0" encoding="utf-8"?>
<c:userShapes xmlns:c="http://schemas.openxmlformats.org/drawingml/2006/chart">
  <cdr:relSizeAnchor xmlns:cdr="http://schemas.openxmlformats.org/drawingml/2006/chartDrawing">
    <cdr:from>
      <cdr:x>0.07896</cdr:x>
      <cdr:y>0.83995</cdr:y>
    </cdr:from>
    <cdr:to>
      <cdr:x>0.68204</cdr:x>
      <cdr:y>0.97548</cdr:y>
    </cdr:to>
    <cdr:sp macro="" textlink="">
      <cdr:nvSpPr>
        <cdr:cNvPr id="5" name="TextBox 4">
          <a:extLst xmlns:a="http://schemas.openxmlformats.org/drawingml/2006/main">
            <a:ext uri="{FF2B5EF4-FFF2-40B4-BE49-F238E27FC236}">
              <a16:creationId xmlns:a16="http://schemas.microsoft.com/office/drawing/2014/main" id="{EC7F6CCA-7A7D-7842-9368-22D923C91FC5}"/>
            </a:ext>
          </a:extLst>
        </cdr:cNvPr>
        <cdr:cNvSpPr txBox="1"/>
      </cdr:nvSpPr>
      <cdr:spPr>
        <a:xfrm xmlns:a="http://schemas.openxmlformats.org/drawingml/2006/main">
          <a:off x="642230" y="2984510"/>
          <a:ext cx="4905222" cy="481566"/>
        </a:xfrm>
        <a:prstGeom xmlns:a="http://schemas.openxmlformats.org/drawingml/2006/main" prst="rect">
          <a:avLst/>
        </a:prstGeom>
        <a:ln xmlns:a="http://schemas.openxmlformats.org/drawingml/2006/main" w="9525">
          <a:noFill/>
        </a:ln>
      </cdr:spPr>
      <cdr:txBody>
        <a:bodyPr xmlns:a="http://schemas.openxmlformats.org/drawingml/2006/main" vertOverflow="clip" horzOverflow="clip" wrap="square" lIns="36000" tIns="108000" rIns="36000" bIns="36000" rtlCol="0">
          <a:spAutoFit/>
        </a:bodyPr>
        <a:lstStyle xmlns:a="http://schemas.openxmlformats.org/drawingml/2006/main"/>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Subscales</a:t>
          </a:r>
        </a:p>
      </cdr:txBody>
    </cdr:sp>
  </cdr:relSizeAnchor>
  <cdr:relSizeAnchor xmlns:cdr="http://schemas.openxmlformats.org/drawingml/2006/chartDrawing">
    <cdr:from>
      <cdr:x>0.78451</cdr:x>
      <cdr:y>0.8387</cdr:y>
    </cdr:from>
    <cdr:to>
      <cdr:x>0.98106</cdr:x>
      <cdr:y>0.97548</cdr:y>
    </cdr:to>
    <cdr:sp macro="" textlink="">
      <cdr:nvSpPr>
        <cdr:cNvPr id="12" name="TextBox 1">
          <a:extLst xmlns:a="http://schemas.openxmlformats.org/drawingml/2006/main">
            <a:ext uri="{FF2B5EF4-FFF2-40B4-BE49-F238E27FC236}">
              <a16:creationId xmlns:a16="http://schemas.microsoft.com/office/drawing/2014/main" id="{38320C4F-4D78-1A42-8593-F17807B248DE}"/>
            </a:ext>
          </a:extLst>
        </cdr:cNvPr>
        <cdr:cNvSpPr txBox="1"/>
      </cdr:nvSpPr>
      <cdr:spPr>
        <a:xfrm xmlns:a="http://schemas.openxmlformats.org/drawingml/2006/main">
          <a:off x="6380904" y="2980076"/>
          <a:ext cx="1598662" cy="486000"/>
        </a:xfrm>
        <a:prstGeom xmlns:a="http://schemas.openxmlformats.org/drawingml/2006/main" prst="rect">
          <a:avLst/>
        </a:prstGeom>
        <a:ln xmlns:a="http://schemas.openxmlformats.org/drawingml/2006/main" w="9525">
          <a:noFill/>
        </a:ln>
      </cdr:spPr>
      <cdr:txBody>
        <a:bodyPr xmlns:a="http://schemas.openxmlformats.org/drawingml/2006/main" wrap="square" lIns="36000" tIns="108000" rIns="36000" bIns="36000" rtlCol="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Composites</a:t>
          </a:r>
        </a:p>
      </cdr:txBody>
    </cdr:sp>
  </cdr:relSizeAnchor>
  <cdr:relSizeAnchor xmlns:cdr="http://schemas.openxmlformats.org/drawingml/2006/chartDrawing">
    <cdr:from>
      <cdr:x>0.07383</cdr:x>
      <cdr:y>0.77254</cdr:y>
    </cdr:from>
    <cdr:to>
      <cdr:x>0.11161</cdr:x>
      <cdr:y>0.83893</cdr:y>
    </cdr:to>
    <cdr:sp macro="" textlink="">
      <cdr:nvSpPr>
        <cdr:cNvPr id="9" name="TextBox 1">
          <a:extLst xmlns:a="http://schemas.openxmlformats.org/drawingml/2006/main">
            <a:ext uri="{FF2B5EF4-FFF2-40B4-BE49-F238E27FC236}">
              <a16:creationId xmlns:a16="http://schemas.microsoft.com/office/drawing/2014/main" id="{C9D81E97-7004-F344-867B-FF79354E3E61}"/>
            </a:ext>
          </a:extLst>
        </cdr:cNvPr>
        <cdr:cNvSpPr txBox="1"/>
      </cdr:nvSpPr>
      <cdr:spPr>
        <a:xfrm xmlns:a="http://schemas.openxmlformats.org/drawingml/2006/main">
          <a:off x="600505" y="2744989"/>
          <a:ext cx="307288" cy="235897"/>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Low</a:t>
          </a:r>
        </a:p>
      </cdr:txBody>
    </cdr:sp>
  </cdr:relSizeAnchor>
  <cdr:relSizeAnchor xmlns:cdr="http://schemas.openxmlformats.org/drawingml/2006/chartDrawing">
    <cdr:from>
      <cdr:x>0.07383</cdr:x>
      <cdr:y>0.1203</cdr:y>
    </cdr:from>
    <cdr:to>
      <cdr:x>0.11484</cdr:x>
      <cdr:y>0.18668</cdr:y>
    </cdr:to>
    <cdr:sp macro="" textlink="">
      <cdr:nvSpPr>
        <cdr:cNvPr id="10" name="TextBox 2">
          <a:extLst xmlns:a="http://schemas.openxmlformats.org/drawingml/2006/main">
            <a:ext uri="{FF2B5EF4-FFF2-40B4-BE49-F238E27FC236}">
              <a16:creationId xmlns:a16="http://schemas.microsoft.com/office/drawing/2014/main" id="{E6925C8E-34C2-B645-A1AD-5BB102E0A2C4}"/>
            </a:ext>
          </a:extLst>
        </cdr:cNvPr>
        <cdr:cNvSpPr txBox="1"/>
      </cdr:nvSpPr>
      <cdr:spPr>
        <a:xfrm xmlns:a="http://schemas.openxmlformats.org/drawingml/2006/main">
          <a:off x="600505" y="427450"/>
          <a:ext cx="333560" cy="235861"/>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High</a:t>
          </a:r>
        </a:p>
      </cdr:txBody>
    </cdr:sp>
  </cdr:relSizeAnchor>
</c:userShapes>
</file>

<file path=xl/drawings/drawing31.xml><?xml version="1.0" encoding="utf-8"?>
<c:userShapes xmlns:c="http://schemas.openxmlformats.org/drawingml/2006/chart">
  <cdr:relSizeAnchor xmlns:cdr="http://schemas.openxmlformats.org/drawingml/2006/chartDrawing">
    <cdr:from>
      <cdr:x>0.07339</cdr:x>
      <cdr:y>0.83759</cdr:y>
    </cdr:from>
    <cdr:to>
      <cdr:x>0.9837</cdr:x>
      <cdr:y>0.97437</cdr:y>
    </cdr:to>
    <cdr:sp macro="" textlink="">
      <cdr:nvSpPr>
        <cdr:cNvPr id="12" name="TextBox 1">
          <a:extLst xmlns:a="http://schemas.openxmlformats.org/drawingml/2006/main">
            <a:ext uri="{FF2B5EF4-FFF2-40B4-BE49-F238E27FC236}">
              <a16:creationId xmlns:a16="http://schemas.microsoft.com/office/drawing/2014/main" id="{38320C4F-4D78-1A42-8593-F17807B248DE}"/>
            </a:ext>
          </a:extLst>
        </cdr:cNvPr>
        <cdr:cNvSpPr txBox="1"/>
      </cdr:nvSpPr>
      <cdr:spPr>
        <a:xfrm xmlns:a="http://schemas.openxmlformats.org/drawingml/2006/main">
          <a:off x="596900" y="2976115"/>
          <a:ext cx="7404100" cy="486000"/>
        </a:xfrm>
        <a:prstGeom xmlns:a="http://schemas.openxmlformats.org/drawingml/2006/main" prst="rect">
          <a:avLst/>
        </a:prstGeom>
        <a:ln xmlns:a="http://schemas.openxmlformats.org/drawingml/2006/main" w="9525">
          <a:noFill/>
        </a:ln>
      </cdr:spPr>
      <cdr:txBody>
        <a:bodyPr xmlns:a="http://schemas.openxmlformats.org/drawingml/2006/main" wrap="square" lIns="36000" tIns="108000" rIns="36000" bIns="36000" rtlCol="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en-GB" sz="1050">
            <a:solidFill>
              <a:schemeClr val="bg2">
                <a:lumMod val="75000"/>
              </a:schemeClr>
            </a:solidFill>
          </a:endParaRPr>
        </a:p>
        <a:p xmlns:a="http://schemas.openxmlformats.org/drawingml/2006/main">
          <a:pPr algn="ctr"/>
          <a:r>
            <a:rPr lang="en-GB" sz="1050" b="1">
              <a:solidFill>
                <a:schemeClr val="bg2">
                  <a:lumMod val="75000"/>
                </a:schemeClr>
              </a:solidFill>
            </a:rPr>
            <a:t>Primary  Personality Domains</a:t>
          </a:r>
        </a:p>
      </cdr:txBody>
    </cdr:sp>
  </cdr:relSizeAnchor>
  <cdr:relSizeAnchor xmlns:cdr="http://schemas.openxmlformats.org/drawingml/2006/chartDrawing">
    <cdr:from>
      <cdr:x>0.07513</cdr:x>
      <cdr:y>0.76572</cdr:y>
    </cdr:from>
    <cdr:to>
      <cdr:x>0.11291</cdr:x>
      <cdr:y>0.83223</cdr:y>
    </cdr:to>
    <cdr:sp macro="" textlink="">
      <cdr:nvSpPr>
        <cdr:cNvPr id="6" name="TextBox 1">
          <a:extLst xmlns:a="http://schemas.openxmlformats.org/drawingml/2006/main">
            <a:ext uri="{FF2B5EF4-FFF2-40B4-BE49-F238E27FC236}">
              <a16:creationId xmlns:a16="http://schemas.microsoft.com/office/drawing/2014/main" id="{C9D81E97-7004-F344-867B-FF79354E3E61}"/>
            </a:ext>
          </a:extLst>
        </cdr:cNvPr>
        <cdr:cNvSpPr txBox="1"/>
      </cdr:nvSpPr>
      <cdr:spPr>
        <a:xfrm xmlns:a="http://schemas.openxmlformats.org/drawingml/2006/main">
          <a:off x="611079" y="2720756"/>
          <a:ext cx="307288" cy="236324"/>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Low</a:t>
          </a:r>
        </a:p>
      </cdr:txBody>
    </cdr:sp>
  </cdr:relSizeAnchor>
  <cdr:relSizeAnchor xmlns:cdr="http://schemas.openxmlformats.org/drawingml/2006/chartDrawing">
    <cdr:from>
      <cdr:x>0.07513</cdr:x>
      <cdr:y>0.125</cdr:y>
    </cdr:from>
    <cdr:to>
      <cdr:x>0.11614</cdr:x>
      <cdr:y>0.19151</cdr:y>
    </cdr:to>
    <cdr:sp macro="" textlink="">
      <cdr:nvSpPr>
        <cdr:cNvPr id="7" name="TextBox 2">
          <a:extLst xmlns:a="http://schemas.openxmlformats.org/drawingml/2006/main">
            <a:ext uri="{FF2B5EF4-FFF2-40B4-BE49-F238E27FC236}">
              <a16:creationId xmlns:a16="http://schemas.microsoft.com/office/drawing/2014/main" id="{E6925C8E-34C2-B645-A1AD-5BB102E0A2C4}"/>
            </a:ext>
          </a:extLst>
        </cdr:cNvPr>
        <cdr:cNvSpPr txBox="1"/>
      </cdr:nvSpPr>
      <cdr:spPr>
        <a:xfrm xmlns:a="http://schemas.openxmlformats.org/drawingml/2006/main">
          <a:off x="611079" y="444150"/>
          <a:ext cx="333559" cy="236323"/>
        </a:xfrm>
        <a:prstGeom xmlns:a="http://schemas.openxmlformats.org/drawingml/2006/main" prst="rect">
          <a:avLst/>
        </a:prstGeom>
      </cdr:spPr>
      <cdr:txBody>
        <a:bodyPr xmlns:a="http://schemas.openxmlformats.org/drawingml/2006/main" wrap="none" lIns="36000" tIns="36000" rIns="36000" bIns="36000" rtlCol="0" anchor="ctr" anchorCtr="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lumMod val="50000"/>
                </a:schemeClr>
              </a:solidFill>
            </a:rPr>
            <a:t>High</a:t>
          </a:r>
        </a:p>
      </cdr:txBody>
    </cdr:sp>
  </cdr:relSizeAnchor>
</c:userShapes>
</file>

<file path=xl/drawings/drawing32.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4" name="TextBox 3">
          <a:hlinkClick xmlns:r="http://schemas.openxmlformats.org/officeDocument/2006/relationships" r:id="rId1"/>
          <a:extLst>
            <a:ext uri="{FF2B5EF4-FFF2-40B4-BE49-F238E27FC236}">
              <a16:creationId xmlns:a16="http://schemas.microsoft.com/office/drawing/2014/main" id="{DFD8A43B-1BF3-F249-B9E6-37C075478E16}"/>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5" name="TextBox 4">
          <a:hlinkClick xmlns:r="http://schemas.openxmlformats.org/officeDocument/2006/relationships" r:id="rId2"/>
          <a:extLst>
            <a:ext uri="{FF2B5EF4-FFF2-40B4-BE49-F238E27FC236}">
              <a16:creationId xmlns:a16="http://schemas.microsoft.com/office/drawing/2014/main" id="{3BCB1218-02EC-484A-8B28-B2BCB1C862CC}"/>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baseline="0">
              <a:solidFill>
                <a:schemeClr val="bg1"/>
              </a:solidFill>
              <a:latin typeface="+mj-lt"/>
            </a:rPr>
            <a:t>DASS-21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6" name="TextBox 5">
          <a:hlinkClick xmlns:r="http://schemas.openxmlformats.org/officeDocument/2006/relationships" r:id="rId3"/>
          <a:extLst>
            <a:ext uri="{FF2B5EF4-FFF2-40B4-BE49-F238E27FC236}">
              <a16:creationId xmlns:a16="http://schemas.microsoft.com/office/drawing/2014/main" id="{8BB6D1AF-6CAA-FE41-A218-B98549801D39}"/>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33.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3" name="TextBox 2">
          <a:hlinkClick xmlns:r="http://schemas.openxmlformats.org/officeDocument/2006/relationships" r:id="rId1"/>
          <a:extLst>
            <a:ext uri="{FF2B5EF4-FFF2-40B4-BE49-F238E27FC236}">
              <a16:creationId xmlns:a16="http://schemas.microsoft.com/office/drawing/2014/main" id="{A5E5D0ED-7D9A-DE41-AA1A-55C3A005D225}"/>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4" name="TextBox 3">
          <a:hlinkClick xmlns:r="http://schemas.openxmlformats.org/officeDocument/2006/relationships" r:id="rId2"/>
          <a:extLst>
            <a:ext uri="{FF2B5EF4-FFF2-40B4-BE49-F238E27FC236}">
              <a16:creationId xmlns:a16="http://schemas.microsoft.com/office/drawing/2014/main" id="{81B30EC8-C889-F043-9E4B-7109097B4B63}"/>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baseline="0">
              <a:solidFill>
                <a:schemeClr val="bg1"/>
              </a:solidFill>
              <a:latin typeface="+mj-lt"/>
            </a:rPr>
            <a:t>DASS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5" name="TextBox 4">
          <a:hlinkClick xmlns:r="http://schemas.openxmlformats.org/officeDocument/2006/relationships" r:id="rId3"/>
          <a:extLst>
            <a:ext uri="{FF2B5EF4-FFF2-40B4-BE49-F238E27FC236}">
              <a16:creationId xmlns:a16="http://schemas.microsoft.com/office/drawing/2014/main" id="{E0CE1E85-DDEA-6C4D-8970-F94883892026}"/>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34.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3" name="TextBox 2">
          <a:hlinkClick xmlns:r="http://schemas.openxmlformats.org/officeDocument/2006/relationships" r:id="rId1"/>
          <a:extLst>
            <a:ext uri="{FF2B5EF4-FFF2-40B4-BE49-F238E27FC236}">
              <a16:creationId xmlns:a16="http://schemas.microsoft.com/office/drawing/2014/main" id="{352F0737-25C2-DA4B-A5AB-5E8AA9E9145C}"/>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4" name="TextBox 3">
          <a:hlinkClick xmlns:r="http://schemas.openxmlformats.org/officeDocument/2006/relationships" r:id="rId2"/>
          <a:extLst>
            <a:ext uri="{FF2B5EF4-FFF2-40B4-BE49-F238E27FC236}">
              <a16:creationId xmlns:a16="http://schemas.microsoft.com/office/drawing/2014/main" id="{9B3B7045-7508-0549-8FA1-7C0AAF305CE5}"/>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baseline="0">
              <a:solidFill>
                <a:schemeClr val="bg1"/>
              </a:solidFill>
              <a:latin typeface="+mj-lt"/>
            </a:rPr>
            <a:t>K10</a:t>
          </a:r>
          <a:r>
            <a:rPr lang="en-GB" sz="1600" b="1">
              <a:solidFill>
                <a:schemeClr val="bg1"/>
              </a:solidFill>
              <a:latin typeface="+mj-lt"/>
            </a:rPr>
            <a:t>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5" name="TextBox 4">
          <a:hlinkClick xmlns:r="http://schemas.openxmlformats.org/officeDocument/2006/relationships" r:id="rId3"/>
          <a:extLst>
            <a:ext uri="{FF2B5EF4-FFF2-40B4-BE49-F238E27FC236}">
              <a16:creationId xmlns:a16="http://schemas.microsoft.com/office/drawing/2014/main" id="{DDB3EF5E-6396-0645-92AF-1E30AF4D03B0}"/>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35.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4" name="TextBox 3">
          <a:hlinkClick xmlns:r="http://schemas.openxmlformats.org/officeDocument/2006/relationships" r:id="rId1"/>
          <a:extLst>
            <a:ext uri="{FF2B5EF4-FFF2-40B4-BE49-F238E27FC236}">
              <a16:creationId xmlns:a16="http://schemas.microsoft.com/office/drawing/2014/main" id="{F2B01712-5844-A34B-86B8-B0F2CAB1BB5D}"/>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5" name="TextBox 4">
          <a:hlinkClick xmlns:r="http://schemas.openxmlformats.org/officeDocument/2006/relationships" r:id="rId2"/>
          <a:extLst>
            <a:ext uri="{FF2B5EF4-FFF2-40B4-BE49-F238E27FC236}">
              <a16:creationId xmlns:a16="http://schemas.microsoft.com/office/drawing/2014/main" id="{925B7964-5C27-304C-8BCC-F60BD5DC2221}"/>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a:solidFill>
                <a:schemeClr val="bg1"/>
              </a:solidFill>
              <a:latin typeface="+mj-lt"/>
            </a:rPr>
            <a:t>GAD-7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6" name="TextBox 5">
          <a:hlinkClick xmlns:r="http://schemas.openxmlformats.org/officeDocument/2006/relationships" r:id="rId3"/>
          <a:extLst>
            <a:ext uri="{FF2B5EF4-FFF2-40B4-BE49-F238E27FC236}">
              <a16:creationId xmlns:a16="http://schemas.microsoft.com/office/drawing/2014/main" id="{70AFB87F-5585-7342-8B1A-C54B144C3400}"/>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36.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4" name="TextBox 3">
          <a:hlinkClick xmlns:r="http://schemas.openxmlformats.org/officeDocument/2006/relationships" r:id="rId1"/>
          <a:extLst>
            <a:ext uri="{FF2B5EF4-FFF2-40B4-BE49-F238E27FC236}">
              <a16:creationId xmlns:a16="http://schemas.microsoft.com/office/drawing/2014/main" id="{B3696FDB-5906-874C-8A12-A1C9F14D9D46}"/>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5" name="TextBox 4">
          <a:hlinkClick xmlns:r="http://schemas.openxmlformats.org/officeDocument/2006/relationships" r:id="rId2"/>
          <a:extLst>
            <a:ext uri="{FF2B5EF4-FFF2-40B4-BE49-F238E27FC236}">
              <a16:creationId xmlns:a16="http://schemas.microsoft.com/office/drawing/2014/main" id="{0D650156-164C-6B48-9EBA-C7970CAF7CC8}"/>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a:solidFill>
                <a:schemeClr val="bg1"/>
              </a:solidFill>
              <a:latin typeface="+mj-lt"/>
            </a:rPr>
            <a:t>PHQ-9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6" name="TextBox 5">
          <a:hlinkClick xmlns:r="http://schemas.openxmlformats.org/officeDocument/2006/relationships" r:id="rId3"/>
          <a:extLst>
            <a:ext uri="{FF2B5EF4-FFF2-40B4-BE49-F238E27FC236}">
              <a16:creationId xmlns:a16="http://schemas.microsoft.com/office/drawing/2014/main" id="{F1B9E1B3-ABB8-5D41-886B-0161DC3801F8}"/>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37.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2" name="TextBox 1">
          <a:hlinkClick xmlns:r="http://schemas.openxmlformats.org/officeDocument/2006/relationships" r:id="rId1"/>
          <a:extLst>
            <a:ext uri="{FF2B5EF4-FFF2-40B4-BE49-F238E27FC236}">
              <a16:creationId xmlns:a16="http://schemas.microsoft.com/office/drawing/2014/main" id="{D2EE5C36-B0BB-C64C-A6D1-1BE9F6EF7C4C}"/>
            </a:ext>
          </a:extLst>
        </xdr:cNvPr>
        <xdr:cNvSpPr txBox="1"/>
      </xdr:nvSpPr>
      <xdr:spPr>
        <a:xfrm>
          <a:off x="13946393" y="8255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3" name="TextBox 2">
          <a:hlinkClick xmlns:r="http://schemas.openxmlformats.org/officeDocument/2006/relationships" r:id="rId2"/>
          <a:extLst>
            <a:ext uri="{FF2B5EF4-FFF2-40B4-BE49-F238E27FC236}">
              <a16:creationId xmlns:a16="http://schemas.microsoft.com/office/drawing/2014/main" id="{DC73D9FF-C73A-7D40-81BD-F89F6F4E82CA}"/>
            </a:ext>
          </a:extLst>
        </xdr:cNvPr>
        <xdr:cNvSpPr txBox="1"/>
      </xdr:nvSpPr>
      <xdr:spPr>
        <a:xfrm>
          <a:off x="16272286" y="8255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baseline="0">
              <a:solidFill>
                <a:schemeClr val="bg1"/>
              </a:solidFill>
              <a:latin typeface="+mj-lt"/>
            </a:rPr>
            <a:t>BDI-II</a:t>
          </a:r>
          <a:r>
            <a:rPr lang="en-GB" sz="1600" b="1">
              <a:solidFill>
                <a:schemeClr val="bg1"/>
              </a:solidFill>
              <a:latin typeface="+mj-lt"/>
            </a:rPr>
            <a:t>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4" name="TextBox 3">
          <a:hlinkClick xmlns:r="http://schemas.openxmlformats.org/officeDocument/2006/relationships" r:id="rId3"/>
          <a:extLst>
            <a:ext uri="{FF2B5EF4-FFF2-40B4-BE49-F238E27FC236}">
              <a16:creationId xmlns:a16="http://schemas.microsoft.com/office/drawing/2014/main" id="{F3B8FD71-3FDE-534B-BA6F-AE30C878CEFD}"/>
            </a:ext>
          </a:extLst>
        </xdr:cNvPr>
        <xdr:cNvSpPr txBox="1"/>
      </xdr:nvSpPr>
      <xdr:spPr>
        <a:xfrm>
          <a:off x="11620500" y="8255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38.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2" name="TextBox 1">
          <a:hlinkClick xmlns:r="http://schemas.openxmlformats.org/officeDocument/2006/relationships" r:id="rId1"/>
          <a:extLst>
            <a:ext uri="{FF2B5EF4-FFF2-40B4-BE49-F238E27FC236}">
              <a16:creationId xmlns:a16="http://schemas.microsoft.com/office/drawing/2014/main" id="{00A1A3B8-5118-854D-ADDC-B4609134DD54}"/>
            </a:ext>
          </a:extLst>
        </xdr:cNvPr>
        <xdr:cNvSpPr txBox="1"/>
      </xdr:nvSpPr>
      <xdr:spPr>
        <a:xfrm>
          <a:off x="13946393" y="8255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3" name="TextBox 2">
          <a:hlinkClick xmlns:r="http://schemas.openxmlformats.org/officeDocument/2006/relationships" r:id="rId2"/>
          <a:extLst>
            <a:ext uri="{FF2B5EF4-FFF2-40B4-BE49-F238E27FC236}">
              <a16:creationId xmlns:a16="http://schemas.microsoft.com/office/drawing/2014/main" id="{33410633-968A-D844-B080-655592550E55}"/>
            </a:ext>
          </a:extLst>
        </xdr:cNvPr>
        <xdr:cNvSpPr txBox="1"/>
      </xdr:nvSpPr>
      <xdr:spPr>
        <a:xfrm>
          <a:off x="16272286" y="8255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baseline="0">
              <a:solidFill>
                <a:schemeClr val="bg1"/>
              </a:solidFill>
              <a:latin typeface="+mj-lt"/>
            </a:rPr>
            <a:t>BAI</a:t>
          </a:r>
          <a:r>
            <a:rPr lang="en-GB" sz="1600" b="1">
              <a:solidFill>
                <a:schemeClr val="bg1"/>
              </a:solidFill>
              <a:latin typeface="+mj-lt"/>
            </a:rPr>
            <a:t>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4" name="TextBox 3">
          <a:hlinkClick xmlns:r="http://schemas.openxmlformats.org/officeDocument/2006/relationships" r:id="rId3"/>
          <a:extLst>
            <a:ext uri="{FF2B5EF4-FFF2-40B4-BE49-F238E27FC236}">
              <a16:creationId xmlns:a16="http://schemas.microsoft.com/office/drawing/2014/main" id="{B8B9538F-480F-604C-AA29-E96995C4F4AB}"/>
            </a:ext>
          </a:extLst>
        </xdr:cNvPr>
        <xdr:cNvSpPr txBox="1"/>
      </xdr:nvSpPr>
      <xdr:spPr>
        <a:xfrm>
          <a:off x="11620500" y="8255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39.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4" name="TextBox 3">
          <a:hlinkClick xmlns:r="http://schemas.openxmlformats.org/officeDocument/2006/relationships" r:id="rId1"/>
          <a:extLst>
            <a:ext uri="{FF2B5EF4-FFF2-40B4-BE49-F238E27FC236}">
              <a16:creationId xmlns:a16="http://schemas.microsoft.com/office/drawing/2014/main" id="{DD6149C1-D22D-D049-AF57-3F4DD60B73B7}"/>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5" name="TextBox 4">
          <a:hlinkClick xmlns:r="http://schemas.openxmlformats.org/officeDocument/2006/relationships" r:id="rId2"/>
          <a:extLst>
            <a:ext uri="{FF2B5EF4-FFF2-40B4-BE49-F238E27FC236}">
              <a16:creationId xmlns:a16="http://schemas.microsoft.com/office/drawing/2014/main" id="{F0199007-8EE2-8A44-A6E8-521E2D963657}"/>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baseline="0">
              <a:solidFill>
                <a:schemeClr val="bg1"/>
              </a:solidFill>
              <a:latin typeface="+mj-lt"/>
            </a:rPr>
            <a:t>DSM-5</a:t>
          </a:r>
          <a:r>
            <a:rPr lang="en-GB" sz="1600" b="1">
              <a:solidFill>
                <a:schemeClr val="bg1"/>
              </a:solidFill>
              <a:latin typeface="+mj-lt"/>
            </a:rPr>
            <a:t>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6" name="TextBox 5">
          <a:hlinkClick xmlns:r="http://schemas.openxmlformats.org/officeDocument/2006/relationships" r:id="rId3"/>
          <a:extLst>
            <a:ext uri="{FF2B5EF4-FFF2-40B4-BE49-F238E27FC236}">
              <a16:creationId xmlns:a16="http://schemas.microsoft.com/office/drawing/2014/main" id="{338689BD-1375-B044-A7AB-B4AE4C39678A}"/>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40.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2" name="TextBox 1">
          <a:hlinkClick xmlns:r="http://schemas.openxmlformats.org/officeDocument/2006/relationships" r:id="rId1"/>
          <a:extLst>
            <a:ext uri="{FF2B5EF4-FFF2-40B4-BE49-F238E27FC236}">
              <a16:creationId xmlns:a16="http://schemas.microsoft.com/office/drawing/2014/main" id="{613A506E-C2BA-4744-AD43-1755160A761F}"/>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3" name="TextBox 2">
          <a:hlinkClick xmlns:r="http://schemas.openxmlformats.org/officeDocument/2006/relationships" r:id="rId2"/>
          <a:extLst>
            <a:ext uri="{FF2B5EF4-FFF2-40B4-BE49-F238E27FC236}">
              <a16:creationId xmlns:a16="http://schemas.microsoft.com/office/drawing/2014/main" id="{AD0B3202-F74A-114B-9E87-DB68AB699A67}"/>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baseline="0">
              <a:solidFill>
                <a:schemeClr val="bg1"/>
              </a:solidFill>
              <a:latin typeface="+mj-lt"/>
            </a:rPr>
            <a:t>PCL-5</a:t>
          </a:r>
          <a:r>
            <a:rPr lang="en-GB" sz="1600" b="1">
              <a:solidFill>
                <a:schemeClr val="bg1"/>
              </a:solidFill>
              <a:latin typeface="+mj-lt"/>
            </a:rPr>
            <a:t>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4" name="TextBox 3">
          <a:hlinkClick xmlns:r="http://schemas.openxmlformats.org/officeDocument/2006/relationships" r:id="rId3"/>
          <a:extLst>
            <a:ext uri="{FF2B5EF4-FFF2-40B4-BE49-F238E27FC236}">
              <a16:creationId xmlns:a16="http://schemas.microsoft.com/office/drawing/2014/main" id="{0B5A67F8-4E5D-0D46-9617-ADDD0E8AC289}"/>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41.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2" name="TextBox 1">
          <a:hlinkClick xmlns:r="http://schemas.openxmlformats.org/officeDocument/2006/relationships" r:id="rId1"/>
          <a:extLst>
            <a:ext uri="{FF2B5EF4-FFF2-40B4-BE49-F238E27FC236}">
              <a16:creationId xmlns:a16="http://schemas.microsoft.com/office/drawing/2014/main" id="{868221DB-93DA-AC4D-8254-8A6D8837D287}"/>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3" name="TextBox 2">
          <a:hlinkClick xmlns:r="http://schemas.openxmlformats.org/officeDocument/2006/relationships" r:id="rId2"/>
          <a:extLst>
            <a:ext uri="{FF2B5EF4-FFF2-40B4-BE49-F238E27FC236}">
              <a16:creationId xmlns:a16="http://schemas.microsoft.com/office/drawing/2014/main" id="{AA3D1020-0792-394B-AAD4-6076430FFFCC}"/>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baseline="0">
              <a:solidFill>
                <a:schemeClr val="bg1"/>
              </a:solidFill>
              <a:latin typeface="+mj-lt"/>
            </a:rPr>
            <a:t>EDE-Q</a:t>
          </a:r>
          <a:r>
            <a:rPr lang="en-GB" sz="1600" b="1">
              <a:solidFill>
                <a:schemeClr val="bg1"/>
              </a:solidFill>
              <a:latin typeface="+mj-lt"/>
            </a:rPr>
            <a:t>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4" name="TextBox 3">
          <a:hlinkClick xmlns:r="http://schemas.openxmlformats.org/officeDocument/2006/relationships" r:id="rId3"/>
          <a:extLst>
            <a:ext uri="{FF2B5EF4-FFF2-40B4-BE49-F238E27FC236}">
              <a16:creationId xmlns:a16="http://schemas.microsoft.com/office/drawing/2014/main" id="{A8A2FB63-492F-BE40-B900-0B16B79B4274}"/>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42.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2" name="TextBox 1">
          <a:hlinkClick xmlns:r="http://schemas.openxmlformats.org/officeDocument/2006/relationships" r:id="rId1"/>
          <a:extLst>
            <a:ext uri="{FF2B5EF4-FFF2-40B4-BE49-F238E27FC236}">
              <a16:creationId xmlns:a16="http://schemas.microsoft.com/office/drawing/2014/main" id="{7AE62668-1CF0-1742-8B92-81217D6FB744}"/>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3" name="TextBox 2">
          <a:hlinkClick xmlns:r="http://schemas.openxmlformats.org/officeDocument/2006/relationships" r:id="rId2"/>
          <a:extLst>
            <a:ext uri="{FF2B5EF4-FFF2-40B4-BE49-F238E27FC236}">
              <a16:creationId xmlns:a16="http://schemas.microsoft.com/office/drawing/2014/main" id="{CE044DD7-1246-AB4C-AFDE-96509946036B}"/>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baseline="0">
              <a:solidFill>
                <a:schemeClr val="bg1"/>
              </a:solidFill>
              <a:latin typeface="+mj-lt"/>
            </a:rPr>
            <a:t>EDE-QS</a:t>
          </a:r>
          <a:r>
            <a:rPr lang="en-GB" sz="1600" b="1">
              <a:solidFill>
                <a:schemeClr val="bg1"/>
              </a:solidFill>
              <a:latin typeface="+mj-lt"/>
            </a:rPr>
            <a:t>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4" name="TextBox 3">
          <a:hlinkClick xmlns:r="http://schemas.openxmlformats.org/officeDocument/2006/relationships" r:id="rId3"/>
          <a:extLst>
            <a:ext uri="{FF2B5EF4-FFF2-40B4-BE49-F238E27FC236}">
              <a16:creationId xmlns:a16="http://schemas.microsoft.com/office/drawing/2014/main" id="{A80E324E-D6C7-AD43-B576-5530BEA257D5}"/>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43.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4" name="TextBox 3">
          <a:hlinkClick xmlns:r="http://schemas.openxmlformats.org/officeDocument/2006/relationships" r:id="rId1"/>
          <a:extLst>
            <a:ext uri="{FF2B5EF4-FFF2-40B4-BE49-F238E27FC236}">
              <a16:creationId xmlns:a16="http://schemas.microsoft.com/office/drawing/2014/main" id="{F2A9D71E-37F2-1846-B594-64D6A4FE540E}"/>
            </a:ext>
          </a:extLst>
        </xdr:cNvPr>
        <xdr:cNvSpPr txBox="1"/>
      </xdr:nvSpPr>
      <xdr:spPr>
        <a:xfrm>
          <a:off x="139463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5" name="TextBox 4">
          <a:hlinkClick xmlns:r="http://schemas.openxmlformats.org/officeDocument/2006/relationships" r:id="rId2"/>
          <a:extLst>
            <a:ext uri="{FF2B5EF4-FFF2-40B4-BE49-F238E27FC236}">
              <a16:creationId xmlns:a16="http://schemas.microsoft.com/office/drawing/2014/main" id="{71BB4E97-1954-3A4F-A494-8B61E2A95DEA}"/>
            </a:ext>
          </a:extLst>
        </xdr:cNvPr>
        <xdr:cNvSpPr txBox="1"/>
      </xdr:nvSpPr>
      <xdr:spPr>
        <a:xfrm>
          <a:off x="162722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a:solidFill>
                <a:schemeClr val="bg1"/>
              </a:solidFill>
              <a:latin typeface="+mj-lt"/>
            </a:rPr>
            <a:t>AUDIT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6" name="TextBox 5">
          <a:hlinkClick xmlns:r="http://schemas.openxmlformats.org/officeDocument/2006/relationships" r:id="rId3"/>
          <a:extLst>
            <a:ext uri="{FF2B5EF4-FFF2-40B4-BE49-F238E27FC236}">
              <a16:creationId xmlns:a16="http://schemas.microsoft.com/office/drawing/2014/main" id="{968F2553-8DE3-3A44-85BD-BF7ACD950CFC}"/>
            </a:ext>
          </a:extLst>
        </xdr:cNvPr>
        <xdr:cNvSpPr txBox="1"/>
      </xdr:nvSpPr>
      <xdr:spPr>
        <a:xfrm>
          <a:off x="116205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44.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17" name="TextBox 16">
          <a:hlinkClick xmlns:r="http://schemas.openxmlformats.org/officeDocument/2006/relationships" r:id="rId1"/>
          <a:extLst>
            <a:ext uri="{FF2B5EF4-FFF2-40B4-BE49-F238E27FC236}">
              <a16:creationId xmlns:a16="http://schemas.microsoft.com/office/drawing/2014/main" id="{4605AB0F-2A41-144F-B46A-76938B552EAF}"/>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18" name="TextBox 17">
          <a:hlinkClick xmlns:r="http://schemas.openxmlformats.org/officeDocument/2006/relationships" r:id="rId2"/>
          <a:extLst>
            <a:ext uri="{FF2B5EF4-FFF2-40B4-BE49-F238E27FC236}">
              <a16:creationId xmlns:a16="http://schemas.microsoft.com/office/drawing/2014/main" id="{C53FBAFF-10D4-3E43-AFEB-B0421122D2D6}"/>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a:solidFill>
                <a:schemeClr val="bg1"/>
              </a:solidFill>
              <a:latin typeface="+mj-lt"/>
            </a:rPr>
            <a:t>PAQ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19" name="TextBox 18">
          <a:hlinkClick xmlns:r="http://schemas.openxmlformats.org/officeDocument/2006/relationships" r:id="rId3"/>
          <a:extLst>
            <a:ext uri="{FF2B5EF4-FFF2-40B4-BE49-F238E27FC236}">
              <a16:creationId xmlns:a16="http://schemas.microsoft.com/office/drawing/2014/main" id="{966B974C-D917-CD40-A92C-5FE5B6BD5D05}"/>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45.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2" name="TextBox 1">
          <a:hlinkClick xmlns:r="http://schemas.openxmlformats.org/officeDocument/2006/relationships" r:id="rId1"/>
          <a:extLst>
            <a:ext uri="{FF2B5EF4-FFF2-40B4-BE49-F238E27FC236}">
              <a16:creationId xmlns:a16="http://schemas.microsoft.com/office/drawing/2014/main" id="{7C2F431E-8A15-B640-92A9-2C7A95EC6B23}"/>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3" name="TextBox 2">
          <a:hlinkClick xmlns:r="http://schemas.openxmlformats.org/officeDocument/2006/relationships" r:id="rId2"/>
          <a:extLst>
            <a:ext uri="{FF2B5EF4-FFF2-40B4-BE49-F238E27FC236}">
              <a16:creationId xmlns:a16="http://schemas.microsoft.com/office/drawing/2014/main" id="{FA6307DA-21A3-8146-B315-7EE74BA55ABA}"/>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a:solidFill>
                <a:schemeClr val="bg1"/>
              </a:solidFill>
              <a:latin typeface="+mj-lt"/>
            </a:rPr>
            <a:t>PAQ-S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4" name="TextBox 3">
          <a:hlinkClick xmlns:r="http://schemas.openxmlformats.org/officeDocument/2006/relationships" r:id="rId3"/>
          <a:extLst>
            <a:ext uri="{FF2B5EF4-FFF2-40B4-BE49-F238E27FC236}">
              <a16:creationId xmlns:a16="http://schemas.microsoft.com/office/drawing/2014/main" id="{F79FE705-D53A-C74F-91C2-3C156BFF5EB8}"/>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46.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10" name="TextBox 9">
          <a:hlinkClick xmlns:r="http://schemas.openxmlformats.org/officeDocument/2006/relationships" r:id="rId1"/>
          <a:extLst>
            <a:ext uri="{FF2B5EF4-FFF2-40B4-BE49-F238E27FC236}">
              <a16:creationId xmlns:a16="http://schemas.microsoft.com/office/drawing/2014/main" id="{4BECF7F8-854E-6646-BA2A-445332A8A2FA}"/>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11" name="TextBox 10">
          <a:hlinkClick xmlns:r="http://schemas.openxmlformats.org/officeDocument/2006/relationships" r:id="rId2"/>
          <a:extLst>
            <a:ext uri="{FF2B5EF4-FFF2-40B4-BE49-F238E27FC236}">
              <a16:creationId xmlns:a16="http://schemas.microsoft.com/office/drawing/2014/main" id="{13717623-E197-E24B-9ACC-CD8F1F24B8BB}"/>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a:solidFill>
                <a:schemeClr val="bg1"/>
              </a:solidFill>
              <a:latin typeface="+mj-lt"/>
            </a:rPr>
            <a:t>PERCI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12" name="TextBox 11">
          <a:hlinkClick xmlns:r="http://schemas.openxmlformats.org/officeDocument/2006/relationships" r:id="rId3"/>
          <a:extLst>
            <a:ext uri="{FF2B5EF4-FFF2-40B4-BE49-F238E27FC236}">
              <a16:creationId xmlns:a16="http://schemas.microsoft.com/office/drawing/2014/main" id="{D407FF26-AF09-0742-827E-E6DE8B41AD2E}"/>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47.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7" name="TextBox 6">
          <a:hlinkClick xmlns:r="http://schemas.openxmlformats.org/officeDocument/2006/relationships" r:id="rId1"/>
          <a:extLst>
            <a:ext uri="{FF2B5EF4-FFF2-40B4-BE49-F238E27FC236}">
              <a16:creationId xmlns:a16="http://schemas.microsoft.com/office/drawing/2014/main" id="{8724A90B-4694-844E-BA27-F0F82F7CBE56}"/>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8" name="TextBox 7">
          <a:hlinkClick xmlns:r="http://schemas.openxmlformats.org/officeDocument/2006/relationships" r:id="rId2"/>
          <a:extLst>
            <a:ext uri="{FF2B5EF4-FFF2-40B4-BE49-F238E27FC236}">
              <a16:creationId xmlns:a16="http://schemas.microsoft.com/office/drawing/2014/main" id="{F6D345FC-64D4-CF4A-A347-53D6C027EEA0}"/>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a:solidFill>
                <a:schemeClr val="bg1"/>
              </a:solidFill>
              <a:latin typeface="+mj-lt"/>
            </a:rPr>
            <a:t>PERS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9" name="TextBox 8">
          <a:hlinkClick xmlns:r="http://schemas.openxmlformats.org/officeDocument/2006/relationships" r:id="rId3"/>
          <a:extLst>
            <a:ext uri="{FF2B5EF4-FFF2-40B4-BE49-F238E27FC236}">
              <a16:creationId xmlns:a16="http://schemas.microsoft.com/office/drawing/2014/main" id="{B2918CFA-DFA1-9944-A814-3D332B2D99DE}"/>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48.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4" name="TextBox 3">
          <a:hlinkClick xmlns:r="http://schemas.openxmlformats.org/officeDocument/2006/relationships" r:id="rId1"/>
          <a:extLst>
            <a:ext uri="{FF2B5EF4-FFF2-40B4-BE49-F238E27FC236}">
              <a16:creationId xmlns:a16="http://schemas.microsoft.com/office/drawing/2014/main" id="{C5D33634-DFED-AD47-A50B-65AAB6F5F75E}"/>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5" name="TextBox 4">
          <a:hlinkClick xmlns:r="http://schemas.openxmlformats.org/officeDocument/2006/relationships" r:id="rId2"/>
          <a:extLst>
            <a:ext uri="{FF2B5EF4-FFF2-40B4-BE49-F238E27FC236}">
              <a16:creationId xmlns:a16="http://schemas.microsoft.com/office/drawing/2014/main" id="{21D0176A-6965-1942-871E-9CCCD5412C19}"/>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a:solidFill>
                <a:schemeClr val="bg1"/>
              </a:solidFill>
              <a:latin typeface="+mj-lt"/>
            </a:rPr>
            <a:t>PERS-S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6" name="TextBox 5">
          <a:hlinkClick xmlns:r="http://schemas.openxmlformats.org/officeDocument/2006/relationships" r:id="rId3"/>
          <a:extLst>
            <a:ext uri="{FF2B5EF4-FFF2-40B4-BE49-F238E27FC236}">
              <a16:creationId xmlns:a16="http://schemas.microsoft.com/office/drawing/2014/main" id="{F11EF132-5E74-ED46-97F2-BDCF8E597C10}"/>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49.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3" name="TextBox 2">
          <a:hlinkClick xmlns:r="http://schemas.openxmlformats.org/officeDocument/2006/relationships" r:id="rId1"/>
          <a:extLst>
            <a:ext uri="{FF2B5EF4-FFF2-40B4-BE49-F238E27FC236}">
              <a16:creationId xmlns:a16="http://schemas.microsoft.com/office/drawing/2014/main" id="{81AA36D1-57F6-0D45-A562-3569458BB79C}"/>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5" name="TextBox 4">
          <a:hlinkClick xmlns:r="http://schemas.openxmlformats.org/officeDocument/2006/relationships" r:id="rId2"/>
          <a:extLst>
            <a:ext uri="{FF2B5EF4-FFF2-40B4-BE49-F238E27FC236}">
              <a16:creationId xmlns:a16="http://schemas.microsoft.com/office/drawing/2014/main" id="{989AFD89-237F-7540-A787-6AAF236C148B}"/>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a:solidFill>
                <a:schemeClr val="bg1"/>
              </a:solidFill>
              <a:latin typeface="+mj-lt"/>
            </a:rPr>
            <a:t>EBQ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6" name="TextBox 5">
          <a:hlinkClick xmlns:r="http://schemas.openxmlformats.org/officeDocument/2006/relationships" r:id="rId3"/>
          <a:extLst>
            <a:ext uri="{FF2B5EF4-FFF2-40B4-BE49-F238E27FC236}">
              <a16:creationId xmlns:a16="http://schemas.microsoft.com/office/drawing/2014/main" id="{22B8BB5F-E407-4041-A648-B1E481E12160}"/>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50.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4" name="TextBox 3">
          <a:hlinkClick xmlns:r="http://schemas.openxmlformats.org/officeDocument/2006/relationships" r:id="rId1"/>
          <a:extLst>
            <a:ext uri="{FF2B5EF4-FFF2-40B4-BE49-F238E27FC236}">
              <a16:creationId xmlns:a16="http://schemas.microsoft.com/office/drawing/2014/main" id="{444445E1-086A-4E45-985F-1CA207C3F6EE}"/>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5" name="TextBox 4">
          <a:hlinkClick xmlns:r="http://schemas.openxmlformats.org/officeDocument/2006/relationships" r:id="rId2"/>
          <a:extLst>
            <a:ext uri="{FF2B5EF4-FFF2-40B4-BE49-F238E27FC236}">
              <a16:creationId xmlns:a16="http://schemas.microsoft.com/office/drawing/2014/main" id="{F9BB8D80-188C-1A4E-ABCA-422ADEC725F3}"/>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baseline="0">
              <a:solidFill>
                <a:schemeClr val="bg1"/>
              </a:solidFill>
              <a:latin typeface="+mj-lt"/>
            </a:rPr>
            <a:t>ERQ</a:t>
          </a:r>
          <a:r>
            <a:rPr lang="en-GB" sz="1600" b="1">
              <a:solidFill>
                <a:schemeClr val="bg1"/>
              </a:solidFill>
              <a:latin typeface="+mj-lt"/>
            </a:rPr>
            <a:t>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6" name="TextBox 5">
          <a:hlinkClick xmlns:r="http://schemas.openxmlformats.org/officeDocument/2006/relationships" r:id="rId3"/>
          <a:extLst>
            <a:ext uri="{FF2B5EF4-FFF2-40B4-BE49-F238E27FC236}">
              <a16:creationId xmlns:a16="http://schemas.microsoft.com/office/drawing/2014/main" id="{AB748F97-7769-3948-8B2E-FCCFC497BA0F}"/>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51.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2" name="TextBox 1">
          <a:hlinkClick xmlns:r="http://schemas.openxmlformats.org/officeDocument/2006/relationships" r:id="rId1"/>
          <a:extLst>
            <a:ext uri="{FF2B5EF4-FFF2-40B4-BE49-F238E27FC236}">
              <a16:creationId xmlns:a16="http://schemas.microsoft.com/office/drawing/2014/main" id="{898C3558-D37A-5841-B7FD-DD7151BE145B}"/>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3" name="TextBox 2">
          <a:hlinkClick xmlns:r="http://schemas.openxmlformats.org/officeDocument/2006/relationships" r:id="rId2"/>
          <a:extLst>
            <a:ext uri="{FF2B5EF4-FFF2-40B4-BE49-F238E27FC236}">
              <a16:creationId xmlns:a16="http://schemas.microsoft.com/office/drawing/2014/main" id="{2E4B2545-5CC7-C745-8C1D-6A2E4E9DA9EC}"/>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PM</a:t>
          </a:r>
          <a:r>
            <a:rPr lang="en-GB" sz="1600" b="1" baseline="0">
              <a:solidFill>
                <a:schemeClr val="bg1"/>
              </a:solidFill>
              <a:latin typeface="+mj-lt"/>
            </a:rPr>
            <a:t>ERQ</a:t>
          </a:r>
          <a:r>
            <a:rPr lang="en-GB" sz="1600" b="1">
              <a:solidFill>
                <a:schemeClr val="bg1"/>
              </a:solidFill>
              <a:latin typeface="+mj-lt"/>
            </a:rPr>
            <a:t>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4" name="TextBox 3">
          <a:hlinkClick xmlns:r="http://schemas.openxmlformats.org/officeDocument/2006/relationships" r:id="rId3"/>
          <a:extLst>
            <a:ext uri="{FF2B5EF4-FFF2-40B4-BE49-F238E27FC236}">
              <a16:creationId xmlns:a16="http://schemas.microsoft.com/office/drawing/2014/main" id="{D02C51D9-8305-3743-A4CE-71575F47A5FF}"/>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52.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3" name="TextBox 2">
          <a:hlinkClick xmlns:r="http://schemas.openxmlformats.org/officeDocument/2006/relationships" r:id="rId1"/>
          <a:extLst>
            <a:ext uri="{FF2B5EF4-FFF2-40B4-BE49-F238E27FC236}">
              <a16:creationId xmlns:a16="http://schemas.microsoft.com/office/drawing/2014/main" id="{DA063BB8-F9EB-EE4C-87FE-356829ECAC21}"/>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4" name="TextBox 3">
          <a:hlinkClick xmlns:r="http://schemas.openxmlformats.org/officeDocument/2006/relationships" r:id="rId2"/>
          <a:extLst>
            <a:ext uri="{FF2B5EF4-FFF2-40B4-BE49-F238E27FC236}">
              <a16:creationId xmlns:a16="http://schemas.microsoft.com/office/drawing/2014/main" id="{4DE2C2CB-806A-274B-A711-BF6CDBD0069B}"/>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a:solidFill>
                <a:schemeClr val="bg1"/>
              </a:solidFill>
              <a:latin typeface="+mj-lt"/>
            </a:rPr>
            <a:t>PES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5" name="TextBox 4">
          <a:hlinkClick xmlns:r="http://schemas.openxmlformats.org/officeDocument/2006/relationships" r:id="rId3"/>
          <a:extLst>
            <a:ext uri="{FF2B5EF4-FFF2-40B4-BE49-F238E27FC236}">
              <a16:creationId xmlns:a16="http://schemas.microsoft.com/office/drawing/2014/main" id="{61BEEC3F-0EA2-F844-82F9-A4379343E86B}"/>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53.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3" name="TextBox 2">
          <a:hlinkClick xmlns:r="http://schemas.openxmlformats.org/officeDocument/2006/relationships" r:id="rId1"/>
          <a:extLst>
            <a:ext uri="{FF2B5EF4-FFF2-40B4-BE49-F238E27FC236}">
              <a16:creationId xmlns:a16="http://schemas.microsoft.com/office/drawing/2014/main" id="{13449C3F-DD9B-9644-A5E2-8726128305E4}"/>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4" name="TextBox 3">
          <a:hlinkClick xmlns:r="http://schemas.openxmlformats.org/officeDocument/2006/relationships" r:id="rId2"/>
          <a:extLst>
            <a:ext uri="{FF2B5EF4-FFF2-40B4-BE49-F238E27FC236}">
              <a16:creationId xmlns:a16="http://schemas.microsoft.com/office/drawing/2014/main" id="{0EAA4F16-7945-F742-B16F-322C7D9C7A40}"/>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baseline="0">
              <a:solidFill>
                <a:schemeClr val="bg1"/>
              </a:solidFill>
              <a:latin typeface="+mj-lt"/>
            </a:rPr>
            <a:t>ASRS</a:t>
          </a:r>
          <a:r>
            <a:rPr lang="en-GB" sz="1600" b="1">
              <a:solidFill>
                <a:schemeClr val="bg1"/>
              </a:solidFill>
              <a:latin typeface="+mj-lt"/>
            </a:rPr>
            <a:t>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5" name="TextBox 4">
          <a:hlinkClick xmlns:r="http://schemas.openxmlformats.org/officeDocument/2006/relationships" r:id="rId3"/>
          <a:extLst>
            <a:ext uri="{FF2B5EF4-FFF2-40B4-BE49-F238E27FC236}">
              <a16:creationId xmlns:a16="http://schemas.microsoft.com/office/drawing/2014/main" id="{15E8E798-12D0-8C4C-9AA3-08A46BB298E3}"/>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54.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3" name="TextBox 2">
          <a:hlinkClick xmlns:r="http://schemas.openxmlformats.org/officeDocument/2006/relationships" r:id="rId1"/>
          <a:extLst>
            <a:ext uri="{FF2B5EF4-FFF2-40B4-BE49-F238E27FC236}">
              <a16:creationId xmlns:a16="http://schemas.microsoft.com/office/drawing/2014/main" id="{DD382955-CA1A-6842-B38B-D129A0DA1E87}"/>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4" name="TextBox 3">
          <a:hlinkClick xmlns:r="http://schemas.openxmlformats.org/officeDocument/2006/relationships" r:id="rId2"/>
          <a:extLst>
            <a:ext uri="{FF2B5EF4-FFF2-40B4-BE49-F238E27FC236}">
              <a16:creationId xmlns:a16="http://schemas.microsoft.com/office/drawing/2014/main" id="{27B7BA45-406E-EB44-A956-D538F02EEC35}"/>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baseline="0">
              <a:solidFill>
                <a:schemeClr val="bg1"/>
              </a:solidFill>
              <a:latin typeface="+mj-lt"/>
            </a:rPr>
            <a:t>AQ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5" name="TextBox 4">
          <a:hlinkClick xmlns:r="http://schemas.openxmlformats.org/officeDocument/2006/relationships" r:id="rId3"/>
          <a:extLst>
            <a:ext uri="{FF2B5EF4-FFF2-40B4-BE49-F238E27FC236}">
              <a16:creationId xmlns:a16="http://schemas.microsoft.com/office/drawing/2014/main" id="{0C4C1338-2473-9340-9913-DA71191626B9}"/>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55.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3" name="TextBox 2">
          <a:hlinkClick xmlns:r="http://schemas.openxmlformats.org/officeDocument/2006/relationships" r:id="rId1"/>
          <a:extLst>
            <a:ext uri="{FF2B5EF4-FFF2-40B4-BE49-F238E27FC236}">
              <a16:creationId xmlns:a16="http://schemas.microsoft.com/office/drawing/2014/main" id="{BAEB2AFA-B80C-1D49-BA92-ED96CD94ABB5}"/>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4" name="TextBox 3">
          <a:hlinkClick xmlns:r="http://schemas.openxmlformats.org/officeDocument/2006/relationships" r:id="rId2"/>
          <a:extLst>
            <a:ext uri="{FF2B5EF4-FFF2-40B4-BE49-F238E27FC236}">
              <a16:creationId xmlns:a16="http://schemas.microsoft.com/office/drawing/2014/main" id="{60395C3B-D7AA-D64A-B9B0-1F03E6AC66D1}"/>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baseline="0">
              <a:solidFill>
                <a:schemeClr val="bg1"/>
              </a:solidFill>
              <a:latin typeface="+mj-lt"/>
            </a:rPr>
            <a:t>AQ-10</a:t>
          </a:r>
          <a:r>
            <a:rPr lang="en-GB" sz="1600" b="1">
              <a:solidFill>
                <a:schemeClr val="bg1"/>
              </a:solidFill>
              <a:latin typeface="+mj-lt"/>
            </a:rPr>
            <a:t>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5" name="TextBox 4">
          <a:hlinkClick xmlns:r="http://schemas.openxmlformats.org/officeDocument/2006/relationships" r:id="rId3"/>
          <a:extLst>
            <a:ext uri="{FF2B5EF4-FFF2-40B4-BE49-F238E27FC236}">
              <a16:creationId xmlns:a16="http://schemas.microsoft.com/office/drawing/2014/main" id="{3EE8859E-5D5B-684C-B068-3175D41F8FC3}"/>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56.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3" name="TextBox 2">
          <a:hlinkClick xmlns:r="http://schemas.openxmlformats.org/officeDocument/2006/relationships" r:id="rId1"/>
          <a:extLst>
            <a:ext uri="{FF2B5EF4-FFF2-40B4-BE49-F238E27FC236}">
              <a16:creationId xmlns:a16="http://schemas.microsoft.com/office/drawing/2014/main" id="{6D816E8A-67EC-FC4F-B2AA-2338E52E9903}"/>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4" name="TextBox 3">
          <a:hlinkClick xmlns:r="http://schemas.openxmlformats.org/officeDocument/2006/relationships" r:id="rId2"/>
          <a:extLst>
            <a:ext uri="{FF2B5EF4-FFF2-40B4-BE49-F238E27FC236}">
              <a16:creationId xmlns:a16="http://schemas.microsoft.com/office/drawing/2014/main" id="{7DE955B8-3506-9F4A-B96F-E1CE476B70F4}"/>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a:solidFill>
                <a:schemeClr val="bg1"/>
              </a:solidFill>
              <a:latin typeface="+mj-lt"/>
            </a:rPr>
            <a:t>CATI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5" name="TextBox 4">
          <a:hlinkClick xmlns:r="http://schemas.openxmlformats.org/officeDocument/2006/relationships" r:id="rId3"/>
          <a:extLst>
            <a:ext uri="{FF2B5EF4-FFF2-40B4-BE49-F238E27FC236}">
              <a16:creationId xmlns:a16="http://schemas.microsoft.com/office/drawing/2014/main" id="{9C1A6BAB-57A7-6D47-9F0E-93E9BCA3DEFF}"/>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57.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3" name="TextBox 2">
          <a:hlinkClick xmlns:r="http://schemas.openxmlformats.org/officeDocument/2006/relationships" r:id="rId1"/>
          <a:extLst>
            <a:ext uri="{FF2B5EF4-FFF2-40B4-BE49-F238E27FC236}">
              <a16:creationId xmlns:a16="http://schemas.microsoft.com/office/drawing/2014/main" id="{04756CC4-1445-CD4C-A97F-59A8D0CD6837}"/>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5" name="TextBox 4">
          <a:hlinkClick xmlns:r="http://schemas.openxmlformats.org/officeDocument/2006/relationships" r:id="rId2"/>
          <a:extLst>
            <a:ext uri="{FF2B5EF4-FFF2-40B4-BE49-F238E27FC236}">
              <a16:creationId xmlns:a16="http://schemas.microsoft.com/office/drawing/2014/main" id="{8679D32A-83F0-834C-9EAC-AD2D44E93FDE}"/>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a:solidFill>
                <a:schemeClr val="bg1"/>
              </a:solidFill>
              <a:latin typeface="+mj-lt"/>
            </a:rPr>
            <a:t>PID-5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6" name="TextBox 5">
          <a:hlinkClick xmlns:r="http://schemas.openxmlformats.org/officeDocument/2006/relationships" r:id="rId3"/>
          <a:extLst>
            <a:ext uri="{FF2B5EF4-FFF2-40B4-BE49-F238E27FC236}">
              <a16:creationId xmlns:a16="http://schemas.microsoft.com/office/drawing/2014/main" id="{90FDDE63-FC59-A24B-B8D6-6AE5A8AF2EEB}"/>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58.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6" name="TextBox 5">
          <a:hlinkClick xmlns:r="http://schemas.openxmlformats.org/officeDocument/2006/relationships" r:id="rId1"/>
          <a:extLst>
            <a:ext uri="{FF2B5EF4-FFF2-40B4-BE49-F238E27FC236}">
              <a16:creationId xmlns:a16="http://schemas.microsoft.com/office/drawing/2014/main" id="{C755A47A-CC8B-D24D-AAB8-F00063DD2CCF}"/>
            </a:ext>
          </a:extLst>
        </xdr:cNvPr>
        <xdr:cNvSpPr txBox="1"/>
      </xdr:nvSpPr>
      <xdr:spPr>
        <a:xfrm>
          <a:off x="136415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8" name="TextBox 7">
          <a:hlinkClick xmlns:r="http://schemas.openxmlformats.org/officeDocument/2006/relationships" r:id="rId2"/>
          <a:extLst>
            <a:ext uri="{FF2B5EF4-FFF2-40B4-BE49-F238E27FC236}">
              <a16:creationId xmlns:a16="http://schemas.microsoft.com/office/drawing/2014/main" id="{926DC335-39C5-0845-ACAD-95435C46943A}"/>
            </a:ext>
          </a:extLst>
        </xdr:cNvPr>
        <xdr:cNvSpPr txBox="1"/>
      </xdr:nvSpPr>
      <xdr:spPr>
        <a:xfrm>
          <a:off x="15967486"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a:solidFill>
                <a:schemeClr val="bg1"/>
              </a:solidFill>
              <a:latin typeface="+mj-lt"/>
            </a:rPr>
            <a:t>PID-5-BF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9" name="TextBox 8">
          <a:hlinkClick xmlns:r="http://schemas.openxmlformats.org/officeDocument/2006/relationships" r:id="rId3"/>
          <a:extLst>
            <a:ext uri="{FF2B5EF4-FFF2-40B4-BE49-F238E27FC236}">
              <a16:creationId xmlns:a16="http://schemas.microsoft.com/office/drawing/2014/main" id="{8BF66804-84DC-B349-BCF2-16BCA604BF91}"/>
            </a:ext>
          </a:extLst>
        </xdr:cNvPr>
        <xdr:cNvSpPr txBox="1"/>
      </xdr:nvSpPr>
      <xdr:spPr>
        <a:xfrm>
          <a:off x="113157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59.xml><?xml version="1.0" encoding="utf-8"?>
<xdr:wsDr xmlns:xdr="http://schemas.openxmlformats.org/drawingml/2006/spreadsheetDrawing" xmlns:a="http://schemas.openxmlformats.org/drawingml/2006/main">
  <xdr:oneCellAnchor>
    <xdr:from>
      <xdr:col>5</xdr:col>
      <xdr:colOff>2325893</xdr:colOff>
      <xdr:row>2</xdr:row>
      <xdr:rowOff>0</xdr:rowOff>
    </xdr:from>
    <xdr:ext cx="1908000" cy="395859"/>
    <xdr:sp macro="" textlink="">
      <xdr:nvSpPr>
        <xdr:cNvPr id="2" name="TextBox 1">
          <a:hlinkClick xmlns:r="http://schemas.openxmlformats.org/officeDocument/2006/relationships" r:id="rId1"/>
          <a:extLst>
            <a:ext uri="{FF2B5EF4-FFF2-40B4-BE49-F238E27FC236}">
              <a16:creationId xmlns:a16="http://schemas.microsoft.com/office/drawing/2014/main" id="{3F1EDE95-A1AB-044A-9DF1-8DBBE42C17A4}"/>
            </a:ext>
          </a:extLst>
        </xdr:cNvPr>
        <xdr:cNvSpPr txBox="1"/>
      </xdr:nvSpPr>
      <xdr:spPr>
        <a:xfrm>
          <a:off x="13641593" y="8255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oneCellAnchor>
  <xdr:oneCellAnchor>
    <xdr:from>
      <xdr:col>6</xdr:col>
      <xdr:colOff>524286</xdr:colOff>
      <xdr:row>2</xdr:row>
      <xdr:rowOff>0</xdr:rowOff>
    </xdr:from>
    <xdr:ext cx="1908000" cy="395859"/>
    <xdr:sp macro="" textlink="">
      <xdr:nvSpPr>
        <xdr:cNvPr id="3" name="TextBox 2">
          <a:hlinkClick xmlns:r="http://schemas.openxmlformats.org/officeDocument/2006/relationships" r:id="rId2"/>
          <a:extLst>
            <a:ext uri="{FF2B5EF4-FFF2-40B4-BE49-F238E27FC236}">
              <a16:creationId xmlns:a16="http://schemas.microsoft.com/office/drawing/2014/main" id="{756AD582-DA98-764B-8E32-AE33A210BB81}"/>
            </a:ext>
          </a:extLst>
        </xdr:cNvPr>
        <xdr:cNvSpPr txBox="1"/>
      </xdr:nvSpPr>
      <xdr:spPr>
        <a:xfrm>
          <a:off x="15967486" y="8255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View</a:t>
          </a:r>
          <a:r>
            <a:rPr lang="en-GB" sz="1600" b="0" baseline="0">
              <a:solidFill>
                <a:schemeClr val="bg1"/>
              </a:solidFill>
              <a:latin typeface="+mj-lt"/>
            </a:rPr>
            <a:t> </a:t>
          </a:r>
          <a:r>
            <a:rPr lang="en-GB" sz="1600" b="1">
              <a:solidFill>
                <a:schemeClr val="bg1"/>
              </a:solidFill>
              <a:latin typeface="+mj-lt"/>
            </a:rPr>
            <a:t>YSQ-R </a:t>
          </a:r>
          <a:r>
            <a:rPr lang="en-GB" sz="1600" b="0">
              <a:solidFill>
                <a:schemeClr val="bg1"/>
              </a:solidFill>
              <a:latin typeface="+mj-lt"/>
            </a:rPr>
            <a:t>profile</a:t>
          </a:r>
        </a:p>
      </xdr:txBody>
    </xdr:sp>
    <xdr:clientData/>
  </xdr:oneCellAnchor>
  <xdr:oneCellAnchor>
    <xdr:from>
      <xdr:col>5</xdr:col>
      <xdr:colOff>0</xdr:colOff>
      <xdr:row>2</xdr:row>
      <xdr:rowOff>0</xdr:rowOff>
    </xdr:from>
    <xdr:ext cx="1908000" cy="395859"/>
    <xdr:sp macro="" textlink="">
      <xdr:nvSpPr>
        <xdr:cNvPr id="4" name="TextBox 3">
          <a:hlinkClick xmlns:r="http://schemas.openxmlformats.org/officeDocument/2006/relationships" r:id="rId3"/>
          <a:extLst>
            <a:ext uri="{FF2B5EF4-FFF2-40B4-BE49-F238E27FC236}">
              <a16:creationId xmlns:a16="http://schemas.microsoft.com/office/drawing/2014/main" id="{798A90FB-B135-DE43-8981-BAA672D51B01}"/>
            </a:ext>
          </a:extLst>
        </xdr:cNvPr>
        <xdr:cNvSpPr txBox="1"/>
      </xdr:nvSpPr>
      <xdr:spPr>
        <a:xfrm>
          <a:off x="11315700" y="8255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wsDr>
</file>

<file path=xl/drawings/drawing60.xml><?xml version="1.0" encoding="utf-8"?>
<xdr:wsDr xmlns:xdr="http://schemas.openxmlformats.org/drawingml/2006/spreadsheetDrawing" xmlns:a="http://schemas.openxmlformats.org/drawingml/2006/main">
  <xdr:twoCellAnchor>
    <xdr:from>
      <xdr:col>11</xdr:col>
      <xdr:colOff>2325893</xdr:colOff>
      <xdr:row>2</xdr:row>
      <xdr:rowOff>0</xdr:rowOff>
    </xdr:from>
    <xdr:to>
      <xdr:col>11</xdr:col>
      <xdr:colOff>4233893</xdr:colOff>
      <xdr:row>2</xdr:row>
      <xdr:rowOff>395859</xdr:rowOff>
    </xdr:to>
    <xdr:sp macro="" textlink="">
      <xdr:nvSpPr>
        <xdr:cNvPr id="3" name="TextBox 2">
          <a:hlinkClick xmlns:r="http://schemas.openxmlformats.org/officeDocument/2006/relationships" r:id="rId1"/>
          <a:extLst>
            <a:ext uri="{FF2B5EF4-FFF2-40B4-BE49-F238E27FC236}">
              <a16:creationId xmlns:a16="http://schemas.microsoft.com/office/drawing/2014/main" id="{5C17A88F-617A-BE4E-8111-B3D52EB64055}"/>
            </a:ext>
          </a:extLst>
        </xdr:cNvPr>
        <xdr:cNvSpPr txBox="1"/>
      </xdr:nvSpPr>
      <xdr:spPr>
        <a:xfrm>
          <a:off x="13527293" y="1092200"/>
          <a:ext cx="1908000" cy="3958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a:t>
          </a:r>
          <a:r>
            <a:rPr lang="en-GB" sz="1600" b="0" baseline="0">
              <a:solidFill>
                <a:schemeClr val="bg1"/>
              </a:solidFill>
              <a:latin typeface="+mj-lt"/>
            </a:rPr>
            <a:t> </a:t>
          </a:r>
          <a:r>
            <a:rPr lang="en-GB" sz="1600" b="1">
              <a:solidFill>
                <a:schemeClr val="bg1"/>
              </a:solidFill>
              <a:latin typeface="+mj-lt"/>
            </a:rPr>
            <a:t>Client details</a:t>
          </a:r>
        </a:p>
      </xdr:txBody>
    </xdr:sp>
    <xdr:clientData/>
  </xdr:twoCellAnchor>
  <xdr:twoCellAnchor>
    <xdr:from>
      <xdr:col>11</xdr:col>
      <xdr:colOff>4651786</xdr:colOff>
      <xdr:row>2</xdr:row>
      <xdr:rowOff>0</xdr:rowOff>
    </xdr:from>
    <xdr:to>
      <xdr:col>14</xdr:col>
      <xdr:colOff>769086</xdr:colOff>
      <xdr:row>2</xdr:row>
      <xdr:rowOff>395859</xdr:rowOff>
    </xdr:to>
    <xdr:sp macro="" textlink="">
      <xdr:nvSpPr>
        <xdr:cNvPr id="4" name="TextBox 3">
          <a:hlinkClick xmlns:r="http://schemas.openxmlformats.org/officeDocument/2006/relationships" r:id="rId2"/>
          <a:extLst>
            <a:ext uri="{FF2B5EF4-FFF2-40B4-BE49-F238E27FC236}">
              <a16:creationId xmlns:a16="http://schemas.microsoft.com/office/drawing/2014/main" id="{533C9943-63D8-794C-A0F0-B18FB7466C71}"/>
            </a:ext>
          </a:extLst>
        </xdr:cNvPr>
        <xdr:cNvSpPr txBox="1"/>
      </xdr:nvSpPr>
      <xdr:spPr>
        <a:xfrm>
          <a:off x="15853186" y="1092200"/>
          <a:ext cx="298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baseline="0">
              <a:solidFill>
                <a:schemeClr val="bg1"/>
              </a:solidFill>
              <a:latin typeface="+mj-lt"/>
            </a:rPr>
            <a:t>Go to </a:t>
          </a:r>
          <a:r>
            <a:rPr lang="en-GB" sz="1600" b="1" baseline="0">
              <a:solidFill>
                <a:schemeClr val="bg1"/>
              </a:solidFill>
              <a:latin typeface="+mj-lt"/>
            </a:rPr>
            <a:t>Profile Summary and Figures</a:t>
          </a:r>
          <a:endParaRPr lang="en-GB" sz="1600" b="0">
            <a:solidFill>
              <a:schemeClr val="bg1"/>
            </a:solidFill>
            <a:latin typeface="+mj-lt"/>
          </a:endParaRPr>
        </a:p>
      </xdr:txBody>
    </xdr:sp>
    <xdr:clientData/>
  </xdr:twoCellAnchor>
  <xdr:oneCellAnchor>
    <xdr:from>
      <xdr:col>11</xdr:col>
      <xdr:colOff>0</xdr:colOff>
      <xdr:row>2</xdr:row>
      <xdr:rowOff>0</xdr:rowOff>
    </xdr:from>
    <xdr:ext cx="1908000" cy="395859"/>
    <xdr:sp macro="" textlink="">
      <xdr:nvSpPr>
        <xdr:cNvPr id="5" name="TextBox 4">
          <a:hlinkClick xmlns:r="http://schemas.openxmlformats.org/officeDocument/2006/relationships" r:id="rId3"/>
          <a:extLst>
            <a:ext uri="{FF2B5EF4-FFF2-40B4-BE49-F238E27FC236}">
              <a16:creationId xmlns:a16="http://schemas.microsoft.com/office/drawing/2014/main" id="{0C17F41F-1595-B640-8481-F18684B3554B}"/>
            </a:ext>
          </a:extLst>
        </xdr:cNvPr>
        <xdr:cNvSpPr txBox="1"/>
      </xdr:nvSpPr>
      <xdr:spPr>
        <a:xfrm>
          <a:off x="11201400" y="1092200"/>
          <a:ext cx="1908000" cy="3958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72000" tIns="72000" rIns="72000" bIns="72000" rtlCol="0" anchor="ctr" anchorCtr="0">
          <a:noAutofit/>
        </a:bodyPr>
        <a:lstStyle/>
        <a:p>
          <a:pPr algn="ctr"/>
          <a:r>
            <a:rPr lang="en-GB" sz="1600" b="0">
              <a:solidFill>
                <a:schemeClr val="bg1"/>
              </a:solidFill>
              <a:latin typeface="+mj-lt"/>
            </a:rPr>
            <a:t>Go to </a:t>
          </a:r>
          <a:r>
            <a:rPr lang="en-GB" sz="1600" b="1">
              <a:solidFill>
                <a:schemeClr val="bg1"/>
              </a:solidFill>
              <a:latin typeface="+mj-lt"/>
            </a:rPr>
            <a:t>Instructions</a:t>
          </a:r>
        </a:p>
      </xdr:txBody>
    </xdr:sp>
    <xdr:clientData/>
  </xdr:oneCellAnchor>
  <xdr:oneCellAnchor>
    <xdr:from>
      <xdr:col>12</xdr:col>
      <xdr:colOff>0</xdr:colOff>
      <xdr:row>26</xdr:row>
      <xdr:rowOff>15645</xdr:rowOff>
    </xdr:from>
    <xdr:ext cx="1368000" cy="224224"/>
    <xdr:sp macro="" textlink="">
      <xdr:nvSpPr>
        <xdr:cNvPr id="6" name="TextBox 5">
          <a:hlinkClick xmlns:r="http://schemas.openxmlformats.org/officeDocument/2006/relationships" r:id="rId4"/>
          <a:extLst>
            <a:ext uri="{FF2B5EF4-FFF2-40B4-BE49-F238E27FC236}">
              <a16:creationId xmlns:a16="http://schemas.microsoft.com/office/drawing/2014/main" id="{A0385FBA-354C-CD4B-AB04-EE261679F493}"/>
            </a:ext>
          </a:extLst>
        </xdr:cNvPr>
        <xdr:cNvSpPr txBox="1"/>
      </xdr:nvSpPr>
      <xdr:spPr>
        <a:xfrm>
          <a:off x="21805900" y="48543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EBQ </a:t>
          </a:r>
          <a:r>
            <a:rPr lang="en-GB" sz="1200" b="0">
              <a:solidFill>
                <a:schemeClr val="bg1"/>
              </a:solidFill>
              <a:latin typeface="+mj-lt"/>
            </a:rPr>
            <a:t>norms</a:t>
          </a:r>
        </a:p>
      </xdr:txBody>
    </xdr:sp>
    <xdr:clientData/>
  </xdr:oneCellAnchor>
  <xdr:oneCellAnchor>
    <xdr:from>
      <xdr:col>12</xdr:col>
      <xdr:colOff>0</xdr:colOff>
      <xdr:row>27</xdr:row>
      <xdr:rowOff>15645</xdr:rowOff>
    </xdr:from>
    <xdr:ext cx="1368000" cy="224224"/>
    <xdr:sp macro="" textlink="">
      <xdr:nvSpPr>
        <xdr:cNvPr id="7" name="TextBox 6">
          <a:hlinkClick xmlns:r="http://schemas.openxmlformats.org/officeDocument/2006/relationships" r:id="rId5"/>
          <a:extLst>
            <a:ext uri="{FF2B5EF4-FFF2-40B4-BE49-F238E27FC236}">
              <a16:creationId xmlns:a16="http://schemas.microsoft.com/office/drawing/2014/main" id="{D2C1F99B-E615-9D4A-96AF-1694962E45CD}"/>
            </a:ext>
          </a:extLst>
        </xdr:cNvPr>
        <xdr:cNvSpPr txBox="1"/>
      </xdr:nvSpPr>
      <xdr:spPr>
        <a:xfrm>
          <a:off x="21805900" y="51083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ERQ </a:t>
          </a:r>
          <a:r>
            <a:rPr lang="en-GB" sz="1200" b="0">
              <a:solidFill>
                <a:schemeClr val="bg1"/>
              </a:solidFill>
              <a:latin typeface="+mj-lt"/>
            </a:rPr>
            <a:t>norms</a:t>
          </a:r>
        </a:p>
      </xdr:txBody>
    </xdr:sp>
    <xdr:clientData/>
  </xdr:oneCellAnchor>
  <xdr:oneCellAnchor>
    <xdr:from>
      <xdr:col>12</xdr:col>
      <xdr:colOff>0</xdr:colOff>
      <xdr:row>21</xdr:row>
      <xdr:rowOff>7822</xdr:rowOff>
    </xdr:from>
    <xdr:ext cx="1368000" cy="224224"/>
    <xdr:sp macro="" textlink="">
      <xdr:nvSpPr>
        <xdr:cNvPr id="14" name="TextBox 13">
          <a:hlinkClick xmlns:r="http://schemas.openxmlformats.org/officeDocument/2006/relationships" r:id="rId6"/>
          <a:extLst>
            <a:ext uri="{FF2B5EF4-FFF2-40B4-BE49-F238E27FC236}">
              <a16:creationId xmlns:a16="http://schemas.microsoft.com/office/drawing/2014/main" id="{CA82E550-4B71-8148-A80D-4C74C9C09907}"/>
            </a:ext>
          </a:extLst>
        </xdr:cNvPr>
        <xdr:cNvSpPr txBox="1"/>
      </xdr:nvSpPr>
      <xdr:spPr>
        <a:xfrm>
          <a:off x="21805900" y="3830522"/>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PAQ </a:t>
          </a:r>
          <a:r>
            <a:rPr lang="en-GB" sz="1200" b="0">
              <a:solidFill>
                <a:schemeClr val="bg1"/>
              </a:solidFill>
              <a:latin typeface="+mj-lt"/>
            </a:rPr>
            <a:t>norms</a:t>
          </a:r>
        </a:p>
      </xdr:txBody>
    </xdr:sp>
    <xdr:clientData/>
  </xdr:oneCellAnchor>
  <xdr:oneCellAnchor>
    <xdr:from>
      <xdr:col>12</xdr:col>
      <xdr:colOff>0</xdr:colOff>
      <xdr:row>24</xdr:row>
      <xdr:rowOff>0</xdr:rowOff>
    </xdr:from>
    <xdr:ext cx="1368000" cy="223200"/>
    <xdr:sp macro="" textlink="">
      <xdr:nvSpPr>
        <xdr:cNvPr id="15" name="TextBox 14">
          <a:hlinkClick xmlns:r="http://schemas.openxmlformats.org/officeDocument/2006/relationships" r:id="rId7"/>
          <a:extLst>
            <a:ext uri="{FF2B5EF4-FFF2-40B4-BE49-F238E27FC236}">
              <a16:creationId xmlns:a16="http://schemas.microsoft.com/office/drawing/2014/main" id="{EF8F8974-F1D0-EC49-9629-EDB92EEDFA21}"/>
            </a:ext>
          </a:extLst>
        </xdr:cNvPr>
        <xdr:cNvSpPr txBox="1"/>
      </xdr:nvSpPr>
      <xdr:spPr>
        <a:xfrm>
          <a:off x="16421100" y="3060700"/>
          <a:ext cx="1368000" cy="223200"/>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PERS</a:t>
          </a:r>
          <a:r>
            <a:rPr lang="en-GB" sz="1200" b="1" baseline="0">
              <a:solidFill>
                <a:schemeClr val="bg1"/>
              </a:solidFill>
              <a:latin typeface="+mj-lt"/>
            </a:rPr>
            <a:t> </a:t>
          </a:r>
          <a:r>
            <a:rPr lang="en-GB" sz="1200" b="0">
              <a:solidFill>
                <a:schemeClr val="bg1"/>
              </a:solidFill>
              <a:latin typeface="+mj-lt"/>
            </a:rPr>
            <a:t>norms</a:t>
          </a:r>
        </a:p>
      </xdr:txBody>
    </xdr:sp>
    <xdr:clientData/>
  </xdr:oneCellAnchor>
  <xdr:oneCellAnchor>
    <xdr:from>
      <xdr:col>12</xdr:col>
      <xdr:colOff>0</xdr:colOff>
      <xdr:row>23</xdr:row>
      <xdr:rowOff>0</xdr:rowOff>
    </xdr:from>
    <xdr:ext cx="1368000" cy="224224"/>
    <xdr:sp macro="" textlink="">
      <xdr:nvSpPr>
        <xdr:cNvPr id="18" name="TextBox 17">
          <a:hlinkClick xmlns:r="http://schemas.openxmlformats.org/officeDocument/2006/relationships" r:id="rId8"/>
          <a:extLst>
            <a:ext uri="{FF2B5EF4-FFF2-40B4-BE49-F238E27FC236}">
              <a16:creationId xmlns:a16="http://schemas.microsoft.com/office/drawing/2014/main" id="{E8B8BFFD-37DB-6A4E-95DF-3D033B077565}"/>
            </a:ext>
          </a:extLst>
        </xdr:cNvPr>
        <xdr:cNvSpPr txBox="1"/>
      </xdr:nvSpPr>
      <xdr:spPr>
        <a:xfrm>
          <a:off x="21805900" y="40767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PERCI </a:t>
          </a:r>
          <a:r>
            <a:rPr lang="en-GB" sz="1200" b="0">
              <a:solidFill>
                <a:schemeClr val="bg1"/>
              </a:solidFill>
              <a:latin typeface="+mj-lt"/>
            </a:rPr>
            <a:t>norms</a:t>
          </a:r>
        </a:p>
      </xdr:txBody>
    </xdr:sp>
    <xdr:clientData/>
  </xdr:oneCellAnchor>
  <xdr:oneCellAnchor>
    <xdr:from>
      <xdr:col>12</xdr:col>
      <xdr:colOff>0</xdr:colOff>
      <xdr:row>25</xdr:row>
      <xdr:rowOff>0</xdr:rowOff>
    </xdr:from>
    <xdr:ext cx="1368000" cy="223200"/>
    <xdr:sp macro="" textlink="">
      <xdr:nvSpPr>
        <xdr:cNvPr id="25" name="TextBox 24">
          <a:hlinkClick xmlns:r="http://schemas.openxmlformats.org/officeDocument/2006/relationships" r:id="rId9"/>
          <a:extLst>
            <a:ext uri="{FF2B5EF4-FFF2-40B4-BE49-F238E27FC236}">
              <a16:creationId xmlns:a16="http://schemas.microsoft.com/office/drawing/2014/main" id="{09D03865-509E-5E47-95A8-C35D8F5D314A}"/>
            </a:ext>
          </a:extLst>
        </xdr:cNvPr>
        <xdr:cNvSpPr txBox="1"/>
      </xdr:nvSpPr>
      <xdr:spPr>
        <a:xfrm>
          <a:off x="16421100" y="3314700"/>
          <a:ext cx="1368000" cy="223200"/>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PERS-S</a:t>
          </a:r>
          <a:r>
            <a:rPr lang="en-GB" sz="1200" b="1" baseline="0">
              <a:solidFill>
                <a:schemeClr val="bg1"/>
              </a:solidFill>
              <a:latin typeface="+mj-lt"/>
            </a:rPr>
            <a:t> </a:t>
          </a:r>
          <a:r>
            <a:rPr lang="en-GB" sz="1200" b="0">
              <a:solidFill>
                <a:schemeClr val="bg1"/>
              </a:solidFill>
              <a:latin typeface="+mj-lt"/>
            </a:rPr>
            <a:t>norms</a:t>
          </a:r>
        </a:p>
      </xdr:txBody>
    </xdr:sp>
    <xdr:clientData/>
  </xdr:oneCellAnchor>
  <xdr:oneCellAnchor>
    <xdr:from>
      <xdr:col>11</xdr:col>
      <xdr:colOff>0</xdr:colOff>
      <xdr:row>95</xdr:row>
      <xdr:rowOff>0</xdr:rowOff>
    </xdr:from>
    <xdr:ext cx="1545804" cy="255514"/>
    <xdr:sp macro="" textlink="">
      <xdr:nvSpPr>
        <xdr:cNvPr id="26" name="TextBox 25">
          <a:hlinkClick xmlns:r="http://schemas.openxmlformats.org/officeDocument/2006/relationships" r:id="rId10"/>
          <a:extLst>
            <a:ext uri="{FF2B5EF4-FFF2-40B4-BE49-F238E27FC236}">
              <a16:creationId xmlns:a16="http://schemas.microsoft.com/office/drawing/2014/main" id="{B693318B-AF96-784F-A61E-5EE99F5669E0}"/>
            </a:ext>
          </a:extLst>
        </xdr:cNvPr>
        <xdr:cNvSpPr txBox="1"/>
      </xdr:nvSpPr>
      <xdr:spPr>
        <a:xfrm>
          <a:off x="11201400" y="12458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11</xdr:col>
      <xdr:colOff>0</xdr:colOff>
      <xdr:row>145</xdr:row>
      <xdr:rowOff>0</xdr:rowOff>
    </xdr:from>
    <xdr:ext cx="1545804" cy="255514"/>
    <xdr:sp macro="" textlink="">
      <xdr:nvSpPr>
        <xdr:cNvPr id="29" name="TextBox 28">
          <a:hlinkClick xmlns:r="http://schemas.openxmlformats.org/officeDocument/2006/relationships" r:id="rId10"/>
          <a:extLst>
            <a:ext uri="{FF2B5EF4-FFF2-40B4-BE49-F238E27FC236}">
              <a16:creationId xmlns:a16="http://schemas.microsoft.com/office/drawing/2014/main" id="{3C44A079-80AB-8643-BC4F-07624B18A749}"/>
            </a:ext>
          </a:extLst>
        </xdr:cNvPr>
        <xdr:cNvSpPr txBox="1"/>
      </xdr:nvSpPr>
      <xdr:spPr>
        <a:xfrm>
          <a:off x="11201400" y="24777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11</xdr:col>
      <xdr:colOff>0</xdr:colOff>
      <xdr:row>209</xdr:row>
      <xdr:rowOff>0</xdr:rowOff>
    </xdr:from>
    <xdr:ext cx="1545804" cy="255514"/>
    <xdr:sp macro="" textlink="">
      <xdr:nvSpPr>
        <xdr:cNvPr id="30" name="TextBox 29">
          <a:hlinkClick xmlns:r="http://schemas.openxmlformats.org/officeDocument/2006/relationships" r:id="rId10"/>
          <a:extLst>
            <a:ext uri="{FF2B5EF4-FFF2-40B4-BE49-F238E27FC236}">
              <a16:creationId xmlns:a16="http://schemas.microsoft.com/office/drawing/2014/main" id="{3F29B8E0-01AB-2140-A807-2ACE16934482}"/>
            </a:ext>
          </a:extLst>
        </xdr:cNvPr>
        <xdr:cNvSpPr txBox="1"/>
      </xdr:nvSpPr>
      <xdr:spPr>
        <a:xfrm>
          <a:off x="11201400" y="379730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12</xdr:col>
      <xdr:colOff>0</xdr:colOff>
      <xdr:row>37</xdr:row>
      <xdr:rowOff>0</xdr:rowOff>
    </xdr:from>
    <xdr:ext cx="1368000" cy="224224"/>
    <xdr:sp macro="" textlink="">
      <xdr:nvSpPr>
        <xdr:cNvPr id="32" name="TextBox 31">
          <a:hlinkClick xmlns:r="http://schemas.openxmlformats.org/officeDocument/2006/relationships" r:id="rId11"/>
          <a:extLst>
            <a:ext uri="{FF2B5EF4-FFF2-40B4-BE49-F238E27FC236}">
              <a16:creationId xmlns:a16="http://schemas.microsoft.com/office/drawing/2014/main" id="{CF0A77CD-4C26-474D-9C27-699A15E5CB56}"/>
            </a:ext>
          </a:extLst>
        </xdr:cNvPr>
        <xdr:cNvSpPr txBox="1"/>
      </xdr:nvSpPr>
      <xdr:spPr>
        <a:xfrm>
          <a:off x="16421100" y="67437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PID-5-BF </a:t>
          </a:r>
          <a:r>
            <a:rPr lang="en-GB" sz="1200" b="0">
              <a:solidFill>
                <a:schemeClr val="bg1"/>
              </a:solidFill>
              <a:latin typeface="+mj-lt"/>
            </a:rPr>
            <a:t>norms</a:t>
          </a:r>
        </a:p>
      </xdr:txBody>
    </xdr:sp>
    <xdr:clientData/>
  </xdr:oneCellAnchor>
  <xdr:oneCellAnchor>
    <xdr:from>
      <xdr:col>12</xdr:col>
      <xdr:colOff>0</xdr:colOff>
      <xdr:row>36</xdr:row>
      <xdr:rowOff>0</xdr:rowOff>
    </xdr:from>
    <xdr:ext cx="1368000" cy="224224"/>
    <xdr:sp macro="" textlink="">
      <xdr:nvSpPr>
        <xdr:cNvPr id="33" name="TextBox 32">
          <a:hlinkClick xmlns:r="http://schemas.openxmlformats.org/officeDocument/2006/relationships" r:id="rId12"/>
          <a:extLst>
            <a:ext uri="{FF2B5EF4-FFF2-40B4-BE49-F238E27FC236}">
              <a16:creationId xmlns:a16="http://schemas.microsoft.com/office/drawing/2014/main" id="{755964D9-E6F5-9243-941F-A317603BFE6C}"/>
            </a:ext>
          </a:extLst>
        </xdr:cNvPr>
        <xdr:cNvSpPr txBox="1"/>
      </xdr:nvSpPr>
      <xdr:spPr>
        <a:xfrm>
          <a:off x="16421100" y="64897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PID-5 </a:t>
          </a:r>
          <a:r>
            <a:rPr lang="en-GB" sz="1200" b="0">
              <a:solidFill>
                <a:schemeClr val="bg1"/>
              </a:solidFill>
              <a:latin typeface="+mj-lt"/>
            </a:rPr>
            <a:t>norms</a:t>
          </a:r>
        </a:p>
      </xdr:txBody>
    </xdr:sp>
    <xdr:clientData/>
  </xdr:oneCellAnchor>
  <xdr:oneCellAnchor>
    <xdr:from>
      <xdr:col>11</xdr:col>
      <xdr:colOff>0</xdr:colOff>
      <xdr:row>167</xdr:row>
      <xdr:rowOff>0</xdr:rowOff>
    </xdr:from>
    <xdr:ext cx="1545804" cy="255514"/>
    <xdr:sp macro="" textlink="">
      <xdr:nvSpPr>
        <xdr:cNvPr id="34" name="TextBox 33">
          <a:hlinkClick xmlns:r="http://schemas.openxmlformats.org/officeDocument/2006/relationships" r:id="rId10"/>
          <a:extLst>
            <a:ext uri="{FF2B5EF4-FFF2-40B4-BE49-F238E27FC236}">
              <a16:creationId xmlns:a16="http://schemas.microsoft.com/office/drawing/2014/main" id="{CB54873B-C943-BA45-BB8A-FEB7900BD8CE}"/>
            </a:ext>
          </a:extLst>
        </xdr:cNvPr>
        <xdr:cNvSpPr txBox="1"/>
      </xdr:nvSpPr>
      <xdr:spPr>
        <a:xfrm>
          <a:off x="11201400" y="24777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12</xdr:col>
      <xdr:colOff>0</xdr:colOff>
      <xdr:row>29</xdr:row>
      <xdr:rowOff>15645</xdr:rowOff>
    </xdr:from>
    <xdr:ext cx="1368000" cy="224224"/>
    <xdr:sp macro="" textlink="">
      <xdr:nvSpPr>
        <xdr:cNvPr id="35" name="TextBox 34">
          <a:hlinkClick xmlns:r="http://schemas.openxmlformats.org/officeDocument/2006/relationships" r:id="rId13"/>
          <a:extLst>
            <a:ext uri="{FF2B5EF4-FFF2-40B4-BE49-F238E27FC236}">
              <a16:creationId xmlns:a16="http://schemas.microsoft.com/office/drawing/2014/main" id="{024C2B0D-065D-3949-88E9-90E44934D7AD}"/>
            </a:ext>
          </a:extLst>
        </xdr:cNvPr>
        <xdr:cNvSpPr txBox="1"/>
      </xdr:nvSpPr>
      <xdr:spPr>
        <a:xfrm>
          <a:off x="16421100" y="38383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PES </a:t>
          </a:r>
          <a:r>
            <a:rPr lang="en-GB" sz="1200" b="0">
              <a:solidFill>
                <a:schemeClr val="bg1"/>
              </a:solidFill>
              <a:latin typeface="+mj-lt"/>
            </a:rPr>
            <a:t>norms</a:t>
          </a:r>
        </a:p>
      </xdr:txBody>
    </xdr:sp>
    <xdr:clientData/>
  </xdr:oneCellAnchor>
  <xdr:oneCellAnchor>
    <xdr:from>
      <xdr:col>11</xdr:col>
      <xdr:colOff>0</xdr:colOff>
      <xdr:row>259</xdr:row>
      <xdr:rowOff>0</xdr:rowOff>
    </xdr:from>
    <xdr:ext cx="1545804" cy="255514"/>
    <xdr:sp macro="" textlink="">
      <xdr:nvSpPr>
        <xdr:cNvPr id="10" name="TextBox 9">
          <a:hlinkClick xmlns:r="http://schemas.openxmlformats.org/officeDocument/2006/relationships" r:id="rId10"/>
          <a:extLst>
            <a:ext uri="{FF2B5EF4-FFF2-40B4-BE49-F238E27FC236}">
              <a16:creationId xmlns:a16="http://schemas.microsoft.com/office/drawing/2014/main" id="{1EBDAA0D-7C4C-BA46-AE4D-8386DBE623E3}"/>
            </a:ext>
          </a:extLst>
        </xdr:cNvPr>
        <xdr:cNvSpPr txBox="1"/>
      </xdr:nvSpPr>
      <xdr:spPr>
        <a:xfrm>
          <a:off x="11201400" y="12458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11</xdr:col>
      <xdr:colOff>0</xdr:colOff>
      <xdr:row>58</xdr:row>
      <xdr:rowOff>0</xdr:rowOff>
    </xdr:from>
    <xdr:ext cx="1545804" cy="255514"/>
    <xdr:sp macro="" textlink="">
      <xdr:nvSpPr>
        <xdr:cNvPr id="48" name="TextBox 47">
          <a:hlinkClick xmlns:r="http://schemas.openxmlformats.org/officeDocument/2006/relationships" r:id="rId10"/>
          <a:extLst>
            <a:ext uri="{FF2B5EF4-FFF2-40B4-BE49-F238E27FC236}">
              <a16:creationId xmlns:a16="http://schemas.microsoft.com/office/drawing/2014/main" id="{8015BF7F-E482-A644-8E9A-A7624ED97C1D}"/>
            </a:ext>
          </a:extLst>
        </xdr:cNvPr>
        <xdr:cNvSpPr txBox="1"/>
      </xdr:nvSpPr>
      <xdr:spPr>
        <a:xfrm>
          <a:off x="11201400" y="32778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11</xdr:col>
      <xdr:colOff>0</xdr:colOff>
      <xdr:row>53</xdr:row>
      <xdr:rowOff>0</xdr:rowOff>
    </xdr:from>
    <xdr:ext cx="1545804" cy="255514"/>
    <xdr:sp macro="" textlink="">
      <xdr:nvSpPr>
        <xdr:cNvPr id="49" name="TextBox 48">
          <a:hlinkClick xmlns:r="http://schemas.openxmlformats.org/officeDocument/2006/relationships" r:id="rId10"/>
          <a:extLst>
            <a:ext uri="{FF2B5EF4-FFF2-40B4-BE49-F238E27FC236}">
              <a16:creationId xmlns:a16="http://schemas.microsoft.com/office/drawing/2014/main" id="{B503D83D-0880-1140-B6A0-E1A575A4AA27}"/>
            </a:ext>
          </a:extLst>
        </xdr:cNvPr>
        <xdr:cNvSpPr txBox="1"/>
      </xdr:nvSpPr>
      <xdr:spPr>
        <a:xfrm>
          <a:off x="11201400" y="34683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12</xdr:col>
      <xdr:colOff>0</xdr:colOff>
      <xdr:row>8</xdr:row>
      <xdr:rowOff>0</xdr:rowOff>
    </xdr:from>
    <xdr:ext cx="1368000" cy="224224"/>
    <xdr:sp macro="" textlink="">
      <xdr:nvSpPr>
        <xdr:cNvPr id="56" name="TextBox 55">
          <a:hlinkClick xmlns:r="http://schemas.openxmlformats.org/officeDocument/2006/relationships" r:id="rId14"/>
          <a:extLst>
            <a:ext uri="{FF2B5EF4-FFF2-40B4-BE49-F238E27FC236}">
              <a16:creationId xmlns:a16="http://schemas.microsoft.com/office/drawing/2014/main" id="{82DF7523-5B16-0940-87E6-8369DCAB9F4D}"/>
            </a:ext>
          </a:extLst>
        </xdr:cNvPr>
        <xdr:cNvSpPr txBox="1"/>
      </xdr:nvSpPr>
      <xdr:spPr>
        <a:xfrm>
          <a:off x="16421100" y="55372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DASS-21 </a:t>
          </a:r>
          <a:r>
            <a:rPr lang="en-GB" sz="1200" b="0">
              <a:solidFill>
                <a:schemeClr val="bg1"/>
              </a:solidFill>
              <a:latin typeface="+mj-lt"/>
            </a:rPr>
            <a:t>norms</a:t>
          </a:r>
        </a:p>
      </xdr:txBody>
    </xdr:sp>
    <xdr:clientData/>
  </xdr:oneCellAnchor>
  <xdr:oneCellAnchor>
    <xdr:from>
      <xdr:col>12</xdr:col>
      <xdr:colOff>0</xdr:colOff>
      <xdr:row>15</xdr:row>
      <xdr:rowOff>0</xdr:rowOff>
    </xdr:from>
    <xdr:ext cx="1368000" cy="224224"/>
    <xdr:sp macro="" textlink="">
      <xdr:nvSpPr>
        <xdr:cNvPr id="57" name="TextBox 56">
          <a:hlinkClick xmlns:r="http://schemas.openxmlformats.org/officeDocument/2006/relationships" r:id="rId15"/>
          <a:extLst>
            <a:ext uri="{FF2B5EF4-FFF2-40B4-BE49-F238E27FC236}">
              <a16:creationId xmlns:a16="http://schemas.microsoft.com/office/drawing/2014/main" id="{53A153D5-6385-3740-BEB8-368C114DD6CD}"/>
            </a:ext>
          </a:extLst>
        </xdr:cNvPr>
        <xdr:cNvSpPr txBox="1"/>
      </xdr:nvSpPr>
      <xdr:spPr>
        <a:xfrm>
          <a:off x="16421100" y="57912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DSM-5 </a:t>
          </a:r>
          <a:r>
            <a:rPr lang="en-GB" sz="1200" b="0">
              <a:solidFill>
                <a:schemeClr val="bg1"/>
              </a:solidFill>
              <a:latin typeface="+mj-lt"/>
            </a:rPr>
            <a:t>norms</a:t>
          </a:r>
        </a:p>
      </xdr:txBody>
    </xdr:sp>
    <xdr:clientData/>
  </xdr:oneCellAnchor>
  <xdr:oneCellAnchor>
    <xdr:from>
      <xdr:col>12</xdr:col>
      <xdr:colOff>0</xdr:colOff>
      <xdr:row>10</xdr:row>
      <xdr:rowOff>0</xdr:rowOff>
    </xdr:from>
    <xdr:ext cx="1368000" cy="224224"/>
    <xdr:sp macro="" textlink="">
      <xdr:nvSpPr>
        <xdr:cNvPr id="58" name="TextBox 57">
          <a:hlinkClick xmlns:r="http://schemas.openxmlformats.org/officeDocument/2006/relationships" r:id="rId16"/>
          <a:extLst>
            <a:ext uri="{FF2B5EF4-FFF2-40B4-BE49-F238E27FC236}">
              <a16:creationId xmlns:a16="http://schemas.microsoft.com/office/drawing/2014/main" id="{2DBEDEE2-499E-624D-ADF4-C1089EFFBD0B}"/>
            </a:ext>
          </a:extLst>
        </xdr:cNvPr>
        <xdr:cNvSpPr txBox="1"/>
      </xdr:nvSpPr>
      <xdr:spPr>
        <a:xfrm>
          <a:off x="16421100" y="60452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K10 </a:t>
          </a:r>
          <a:r>
            <a:rPr lang="en-GB" sz="1200" b="0">
              <a:solidFill>
                <a:schemeClr val="bg1"/>
              </a:solidFill>
              <a:latin typeface="+mj-lt"/>
            </a:rPr>
            <a:t>norms</a:t>
          </a:r>
        </a:p>
      </xdr:txBody>
    </xdr:sp>
    <xdr:clientData/>
  </xdr:oneCellAnchor>
  <xdr:oneCellAnchor>
    <xdr:from>
      <xdr:col>12</xdr:col>
      <xdr:colOff>0</xdr:colOff>
      <xdr:row>11</xdr:row>
      <xdr:rowOff>0</xdr:rowOff>
    </xdr:from>
    <xdr:ext cx="1368000" cy="224224"/>
    <xdr:sp macro="" textlink="">
      <xdr:nvSpPr>
        <xdr:cNvPr id="59" name="TextBox 58">
          <a:hlinkClick xmlns:r="http://schemas.openxmlformats.org/officeDocument/2006/relationships" r:id="rId17"/>
          <a:extLst>
            <a:ext uri="{FF2B5EF4-FFF2-40B4-BE49-F238E27FC236}">
              <a16:creationId xmlns:a16="http://schemas.microsoft.com/office/drawing/2014/main" id="{8471D80E-0E43-8646-BFD0-DFEBDAE3B8AF}"/>
            </a:ext>
          </a:extLst>
        </xdr:cNvPr>
        <xdr:cNvSpPr txBox="1"/>
      </xdr:nvSpPr>
      <xdr:spPr>
        <a:xfrm>
          <a:off x="16421100" y="62992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GAD-7 </a:t>
          </a:r>
          <a:r>
            <a:rPr lang="en-GB" sz="1200" b="0">
              <a:solidFill>
                <a:schemeClr val="bg1"/>
              </a:solidFill>
              <a:latin typeface="+mj-lt"/>
            </a:rPr>
            <a:t>norms</a:t>
          </a:r>
        </a:p>
      </xdr:txBody>
    </xdr:sp>
    <xdr:clientData/>
  </xdr:oneCellAnchor>
  <xdr:oneCellAnchor>
    <xdr:from>
      <xdr:col>12</xdr:col>
      <xdr:colOff>0</xdr:colOff>
      <xdr:row>12</xdr:row>
      <xdr:rowOff>0</xdr:rowOff>
    </xdr:from>
    <xdr:ext cx="1368000" cy="224224"/>
    <xdr:sp macro="" textlink="">
      <xdr:nvSpPr>
        <xdr:cNvPr id="60" name="TextBox 59">
          <a:hlinkClick xmlns:r="http://schemas.openxmlformats.org/officeDocument/2006/relationships" r:id="rId18"/>
          <a:extLst>
            <a:ext uri="{FF2B5EF4-FFF2-40B4-BE49-F238E27FC236}">
              <a16:creationId xmlns:a16="http://schemas.microsoft.com/office/drawing/2014/main" id="{FDD44D01-B03C-8146-A9C6-3E6A897D6571}"/>
            </a:ext>
          </a:extLst>
        </xdr:cNvPr>
        <xdr:cNvSpPr txBox="1"/>
      </xdr:nvSpPr>
      <xdr:spPr>
        <a:xfrm>
          <a:off x="16421100" y="65532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PHQ-9 </a:t>
          </a:r>
          <a:r>
            <a:rPr lang="en-GB" sz="1200" b="0">
              <a:solidFill>
                <a:schemeClr val="bg1"/>
              </a:solidFill>
              <a:latin typeface="+mj-lt"/>
            </a:rPr>
            <a:t>norms</a:t>
          </a:r>
        </a:p>
      </xdr:txBody>
    </xdr:sp>
    <xdr:clientData/>
  </xdr:oneCellAnchor>
  <xdr:oneCellAnchor>
    <xdr:from>
      <xdr:col>12</xdr:col>
      <xdr:colOff>0</xdr:colOff>
      <xdr:row>19</xdr:row>
      <xdr:rowOff>0</xdr:rowOff>
    </xdr:from>
    <xdr:ext cx="1368000" cy="224224"/>
    <xdr:sp macro="" textlink="">
      <xdr:nvSpPr>
        <xdr:cNvPr id="61" name="TextBox 60">
          <a:hlinkClick xmlns:r="http://schemas.openxmlformats.org/officeDocument/2006/relationships" r:id="rId19"/>
          <a:extLst>
            <a:ext uri="{FF2B5EF4-FFF2-40B4-BE49-F238E27FC236}">
              <a16:creationId xmlns:a16="http://schemas.microsoft.com/office/drawing/2014/main" id="{891999CC-11C1-7341-99D5-3C434BD094F2}"/>
            </a:ext>
          </a:extLst>
        </xdr:cNvPr>
        <xdr:cNvSpPr txBox="1"/>
      </xdr:nvSpPr>
      <xdr:spPr>
        <a:xfrm>
          <a:off x="16421100" y="68072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AUDIT </a:t>
          </a:r>
          <a:r>
            <a:rPr lang="en-GB" sz="1200" b="0">
              <a:solidFill>
                <a:schemeClr val="bg1"/>
              </a:solidFill>
              <a:latin typeface="+mj-lt"/>
            </a:rPr>
            <a:t>norms</a:t>
          </a:r>
        </a:p>
      </xdr:txBody>
    </xdr:sp>
    <xdr:clientData/>
  </xdr:oneCellAnchor>
  <xdr:oneCellAnchor>
    <xdr:from>
      <xdr:col>12</xdr:col>
      <xdr:colOff>0</xdr:colOff>
      <xdr:row>31</xdr:row>
      <xdr:rowOff>0</xdr:rowOff>
    </xdr:from>
    <xdr:ext cx="1368000" cy="224224"/>
    <xdr:sp macro="" textlink="">
      <xdr:nvSpPr>
        <xdr:cNvPr id="62" name="TextBox 61">
          <a:hlinkClick xmlns:r="http://schemas.openxmlformats.org/officeDocument/2006/relationships" r:id="rId20"/>
          <a:extLst>
            <a:ext uri="{FF2B5EF4-FFF2-40B4-BE49-F238E27FC236}">
              <a16:creationId xmlns:a16="http://schemas.microsoft.com/office/drawing/2014/main" id="{A0876F9E-F58C-044F-9C6D-9398CE68B25A}"/>
            </a:ext>
          </a:extLst>
        </xdr:cNvPr>
        <xdr:cNvSpPr txBox="1"/>
      </xdr:nvSpPr>
      <xdr:spPr>
        <a:xfrm>
          <a:off x="16421100" y="76962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ASRS </a:t>
          </a:r>
          <a:r>
            <a:rPr lang="en-GB" sz="1200" b="0">
              <a:solidFill>
                <a:schemeClr val="bg1"/>
              </a:solidFill>
              <a:latin typeface="+mj-lt"/>
            </a:rPr>
            <a:t>norms</a:t>
          </a:r>
        </a:p>
      </xdr:txBody>
    </xdr:sp>
    <xdr:clientData/>
  </xdr:oneCellAnchor>
  <xdr:oneCellAnchor>
    <xdr:from>
      <xdr:col>12</xdr:col>
      <xdr:colOff>0</xdr:colOff>
      <xdr:row>32</xdr:row>
      <xdr:rowOff>0</xdr:rowOff>
    </xdr:from>
    <xdr:ext cx="1368000" cy="224224"/>
    <xdr:sp macro="" textlink="">
      <xdr:nvSpPr>
        <xdr:cNvPr id="63" name="TextBox 62">
          <a:hlinkClick xmlns:r="http://schemas.openxmlformats.org/officeDocument/2006/relationships" r:id="rId21"/>
          <a:extLst>
            <a:ext uri="{FF2B5EF4-FFF2-40B4-BE49-F238E27FC236}">
              <a16:creationId xmlns:a16="http://schemas.microsoft.com/office/drawing/2014/main" id="{FC1A546D-F1E4-CA45-93BD-89C86D494647}"/>
            </a:ext>
          </a:extLst>
        </xdr:cNvPr>
        <xdr:cNvSpPr txBox="1"/>
      </xdr:nvSpPr>
      <xdr:spPr>
        <a:xfrm>
          <a:off x="16421100" y="79502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AQ </a:t>
          </a:r>
          <a:r>
            <a:rPr lang="en-GB" sz="1200" b="0">
              <a:solidFill>
                <a:schemeClr val="bg1"/>
              </a:solidFill>
              <a:latin typeface="+mj-lt"/>
            </a:rPr>
            <a:t>norms</a:t>
          </a:r>
        </a:p>
      </xdr:txBody>
    </xdr:sp>
    <xdr:clientData/>
  </xdr:oneCellAnchor>
  <xdr:oneCellAnchor>
    <xdr:from>
      <xdr:col>12</xdr:col>
      <xdr:colOff>0</xdr:colOff>
      <xdr:row>33</xdr:row>
      <xdr:rowOff>0</xdr:rowOff>
    </xdr:from>
    <xdr:ext cx="1368000" cy="224224"/>
    <xdr:sp macro="" textlink="">
      <xdr:nvSpPr>
        <xdr:cNvPr id="64" name="TextBox 63">
          <a:hlinkClick xmlns:r="http://schemas.openxmlformats.org/officeDocument/2006/relationships" r:id="rId22"/>
          <a:extLst>
            <a:ext uri="{FF2B5EF4-FFF2-40B4-BE49-F238E27FC236}">
              <a16:creationId xmlns:a16="http://schemas.microsoft.com/office/drawing/2014/main" id="{2C372C05-87B7-BD45-B866-29B6F60CCDD6}"/>
            </a:ext>
          </a:extLst>
        </xdr:cNvPr>
        <xdr:cNvSpPr txBox="1"/>
      </xdr:nvSpPr>
      <xdr:spPr>
        <a:xfrm>
          <a:off x="16421100" y="82042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AQ-10 </a:t>
          </a:r>
          <a:r>
            <a:rPr lang="en-GB" sz="1200" b="0">
              <a:solidFill>
                <a:schemeClr val="bg1"/>
              </a:solidFill>
              <a:latin typeface="+mj-lt"/>
            </a:rPr>
            <a:t>norms</a:t>
          </a:r>
        </a:p>
      </xdr:txBody>
    </xdr:sp>
    <xdr:clientData/>
  </xdr:oneCellAnchor>
  <xdr:oneCellAnchor>
    <xdr:from>
      <xdr:col>12</xdr:col>
      <xdr:colOff>0</xdr:colOff>
      <xdr:row>34</xdr:row>
      <xdr:rowOff>0</xdr:rowOff>
    </xdr:from>
    <xdr:ext cx="1368000" cy="224224"/>
    <xdr:sp macro="" textlink="">
      <xdr:nvSpPr>
        <xdr:cNvPr id="65" name="TextBox 64">
          <a:hlinkClick xmlns:r="http://schemas.openxmlformats.org/officeDocument/2006/relationships" r:id="rId23"/>
          <a:extLst>
            <a:ext uri="{FF2B5EF4-FFF2-40B4-BE49-F238E27FC236}">
              <a16:creationId xmlns:a16="http://schemas.microsoft.com/office/drawing/2014/main" id="{43546F17-4C6B-7B42-9708-BF9E5FC3B4E7}"/>
            </a:ext>
          </a:extLst>
        </xdr:cNvPr>
        <xdr:cNvSpPr txBox="1"/>
      </xdr:nvSpPr>
      <xdr:spPr>
        <a:xfrm>
          <a:off x="16421100" y="84582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CATI </a:t>
          </a:r>
          <a:r>
            <a:rPr lang="en-GB" sz="1200" b="0">
              <a:solidFill>
                <a:schemeClr val="bg1"/>
              </a:solidFill>
              <a:latin typeface="+mj-lt"/>
            </a:rPr>
            <a:t>norms</a:t>
          </a:r>
        </a:p>
      </xdr:txBody>
    </xdr:sp>
    <xdr:clientData/>
  </xdr:oneCellAnchor>
  <xdr:oneCellAnchor>
    <xdr:from>
      <xdr:col>12</xdr:col>
      <xdr:colOff>0</xdr:colOff>
      <xdr:row>9</xdr:row>
      <xdr:rowOff>0</xdr:rowOff>
    </xdr:from>
    <xdr:ext cx="1368000" cy="224224"/>
    <xdr:sp macro="" textlink="">
      <xdr:nvSpPr>
        <xdr:cNvPr id="68" name="TextBox 67">
          <a:hlinkClick xmlns:r="http://schemas.openxmlformats.org/officeDocument/2006/relationships" r:id="rId24"/>
          <a:extLst>
            <a:ext uri="{FF2B5EF4-FFF2-40B4-BE49-F238E27FC236}">
              <a16:creationId xmlns:a16="http://schemas.microsoft.com/office/drawing/2014/main" id="{9E0426D3-485C-3340-A79F-8D75EDC96EA6}"/>
            </a:ext>
          </a:extLst>
        </xdr:cNvPr>
        <xdr:cNvSpPr txBox="1"/>
      </xdr:nvSpPr>
      <xdr:spPr>
        <a:xfrm>
          <a:off x="16421100" y="52832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DASS </a:t>
          </a:r>
          <a:r>
            <a:rPr lang="en-GB" sz="1200" b="0">
              <a:solidFill>
                <a:schemeClr val="bg1"/>
              </a:solidFill>
              <a:latin typeface="+mj-lt"/>
            </a:rPr>
            <a:t>norms</a:t>
          </a:r>
        </a:p>
      </xdr:txBody>
    </xdr:sp>
    <xdr:clientData/>
  </xdr:oneCellAnchor>
  <xdr:oneCellAnchor>
    <xdr:from>
      <xdr:col>11</xdr:col>
      <xdr:colOff>0</xdr:colOff>
      <xdr:row>183</xdr:row>
      <xdr:rowOff>0</xdr:rowOff>
    </xdr:from>
    <xdr:ext cx="1545804" cy="255514"/>
    <xdr:sp macro="" textlink="">
      <xdr:nvSpPr>
        <xdr:cNvPr id="69" name="TextBox 68">
          <a:hlinkClick xmlns:r="http://schemas.openxmlformats.org/officeDocument/2006/relationships" r:id="rId10"/>
          <a:extLst>
            <a:ext uri="{FF2B5EF4-FFF2-40B4-BE49-F238E27FC236}">
              <a16:creationId xmlns:a16="http://schemas.microsoft.com/office/drawing/2014/main" id="{9DD90EA7-6851-184E-9A85-971288D8F6E7}"/>
            </a:ext>
          </a:extLst>
        </xdr:cNvPr>
        <xdr:cNvSpPr txBox="1"/>
      </xdr:nvSpPr>
      <xdr:spPr>
        <a:xfrm>
          <a:off x="11201400" y="436372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11</xdr:col>
      <xdr:colOff>0</xdr:colOff>
      <xdr:row>199</xdr:row>
      <xdr:rowOff>0</xdr:rowOff>
    </xdr:from>
    <xdr:ext cx="1545804" cy="255514"/>
    <xdr:sp macro="" textlink="">
      <xdr:nvSpPr>
        <xdr:cNvPr id="71" name="TextBox 70">
          <a:hlinkClick xmlns:r="http://schemas.openxmlformats.org/officeDocument/2006/relationships" r:id="rId10"/>
          <a:extLst>
            <a:ext uri="{FF2B5EF4-FFF2-40B4-BE49-F238E27FC236}">
              <a16:creationId xmlns:a16="http://schemas.microsoft.com/office/drawing/2014/main" id="{DA13E4E5-5767-5F4B-BA1F-87EC55566488}"/>
            </a:ext>
          </a:extLst>
        </xdr:cNvPr>
        <xdr:cNvSpPr txBox="1"/>
      </xdr:nvSpPr>
      <xdr:spPr>
        <a:xfrm>
          <a:off x="11201400" y="461645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11</xdr:col>
      <xdr:colOff>0</xdr:colOff>
      <xdr:row>204</xdr:row>
      <xdr:rowOff>0</xdr:rowOff>
    </xdr:from>
    <xdr:ext cx="1545804" cy="255514"/>
    <xdr:sp macro="" textlink="">
      <xdr:nvSpPr>
        <xdr:cNvPr id="72" name="TextBox 71">
          <a:hlinkClick xmlns:r="http://schemas.openxmlformats.org/officeDocument/2006/relationships" r:id="rId10"/>
          <a:extLst>
            <a:ext uri="{FF2B5EF4-FFF2-40B4-BE49-F238E27FC236}">
              <a16:creationId xmlns:a16="http://schemas.microsoft.com/office/drawing/2014/main" id="{C972FC4C-795A-F84E-B9C0-D9A7FC52AE1D}"/>
            </a:ext>
          </a:extLst>
        </xdr:cNvPr>
        <xdr:cNvSpPr txBox="1"/>
      </xdr:nvSpPr>
      <xdr:spPr>
        <a:xfrm>
          <a:off x="11201400" y="479933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12</xdr:col>
      <xdr:colOff>0</xdr:colOff>
      <xdr:row>22</xdr:row>
      <xdr:rowOff>7822</xdr:rowOff>
    </xdr:from>
    <xdr:ext cx="1368000" cy="224224"/>
    <xdr:sp macro="" textlink="">
      <xdr:nvSpPr>
        <xdr:cNvPr id="2" name="TextBox 1">
          <a:hlinkClick xmlns:r="http://schemas.openxmlformats.org/officeDocument/2006/relationships" r:id="rId25"/>
          <a:extLst>
            <a:ext uri="{FF2B5EF4-FFF2-40B4-BE49-F238E27FC236}">
              <a16:creationId xmlns:a16="http://schemas.microsoft.com/office/drawing/2014/main" id="{C792DE68-5EF9-984D-9D9B-67CE9AF01499}"/>
            </a:ext>
          </a:extLst>
        </xdr:cNvPr>
        <xdr:cNvSpPr txBox="1"/>
      </xdr:nvSpPr>
      <xdr:spPr>
        <a:xfrm>
          <a:off x="16421100" y="6230822"/>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PAQ-S </a:t>
          </a:r>
          <a:r>
            <a:rPr lang="en-GB" sz="1200" b="0">
              <a:solidFill>
                <a:schemeClr val="bg1"/>
              </a:solidFill>
              <a:latin typeface="+mj-lt"/>
            </a:rPr>
            <a:t>norms</a:t>
          </a:r>
        </a:p>
      </xdr:txBody>
    </xdr:sp>
    <xdr:clientData/>
  </xdr:oneCellAnchor>
  <xdr:oneCellAnchor>
    <xdr:from>
      <xdr:col>11</xdr:col>
      <xdr:colOff>0</xdr:colOff>
      <xdr:row>70</xdr:row>
      <xdr:rowOff>0</xdr:rowOff>
    </xdr:from>
    <xdr:ext cx="1545804" cy="255514"/>
    <xdr:sp macro="" textlink="">
      <xdr:nvSpPr>
        <xdr:cNvPr id="8" name="TextBox 7">
          <a:hlinkClick xmlns:r="http://schemas.openxmlformats.org/officeDocument/2006/relationships" r:id="rId10"/>
          <a:extLst>
            <a:ext uri="{FF2B5EF4-FFF2-40B4-BE49-F238E27FC236}">
              <a16:creationId xmlns:a16="http://schemas.microsoft.com/office/drawing/2014/main" id="{B3D404EF-5839-794E-AC6A-1EA7A3B5198A}"/>
            </a:ext>
          </a:extLst>
        </xdr:cNvPr>
        <xdr:cNvSpPr txBox="1"/>
      </xdr:nvSpPr>
      <xdr:spPr>
        <a:xfrm>
          <a:off x="11201400" y="160782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11</xdr:col>
      <xdr:colOff>0</xdr:colOff>
      <xdr:row>159</xdr:row>
      <xdr:rowOff>0</xdr:rowOff>
    </xdr:from>
    <xdr:ext cx="1545804" cy="255514"/>
    <xdr:sp macro="" textlink="">
      <xdr:nvSpPr>
        <xdr:cNvPr id="11" name="TextBox 10">
          <a:hlinkClick xmlns:r="http://schemas.openxmlformats.org/officeDocument/2006/relationships" r:id="rId10"/>
          <a:extLst>
            <a:ext uri="{FF2B5EF4-FFF2-40B4-BE49-F238E27FC236}">
              <a16:creationId xmlns:a16="http://schemas.microsoft.com/office/drawing/2014/main" id="{FD28276C-A43C-184B-A400-DD97593BAFF8}"/>
            </a:ext>
          </a:extLst>
        </xdr:cNvPr>
        <xdr:cNvSpPr txBox="1"/>
      </xdr:nvSpPr>
      <xdr:spPr>
        <a:xfrm>
          <a:off x="11201400" y="405892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11</xdr:col>
      <xdr:colOff>0</xdr:colOff>
      <xdr:row>48</xdr:row>
      <xdr:rowOff>0</xdr:rowOff>
    </xdr:from>
    <xdr:ext cx="1545804" cy="255514"/>
    <xdr:sp macro="" textlink="">
      <xdr:nvSpPr>
        <xdr:cNvPr id="17" name="TextBox 16">
          <a:hlinkClick xmlns:r="http://schemas.openxmlformats.org/officeDocument/2006/relationships" r:id="rId10"/>
          <a:extLst>
            <a:ext uri="{FF2B5EF4-FFF2-40B4-BE49-F238E27FC236}">
              <a16:creationId xmlns:a16="http://schemas.microsoft.com/office/drawing/2014/main" id="{3502542E-CB29-B844-81DF-3897C8964EFB}"/>
            </a:ext>
          </a:extLst>
        </xdr:cNvPr>
        <xdr:cNvSpPr txBox="1"/>
      </xdr:nvSpPr>
      <xdr:spPr>
        <a:xfrm>
          <a:off x="11201400" y="548386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12</xdr:col>
      <xdr:colOff>0</xdr:colOff>
      <xdr:row>18</xdr:row>
      <xdr:rowOff>0</xdr:rowOff>
    </xdr:from>
    <xdr:ext cx="1368000" cy="224224"/>
    <xdr:sp macro="" textlink="">
      <xdr:nvSpPr>
        <xdr:cNvPr id="21" name="TextBox 20">
          <a:hlinkClick xmlns:r="http://schemas.openxmlformats.org/officeDocument/2006/relationships" r:id="rId26"/>
          <a:extLst>
            <a:ext uri="{FF2B5EF4-FFF2-40B4-BE49-F238E27FC236}">
              <a16:creationId xmlns:a16="http://schemas.microsoft.com/office/drawing/2014/main" id="{179C0E93-1CC5-6E41-9CC7-FEBAD49C729F}"/>
            </a:ext>
          </a:extLst>
        </xdr:cNvPr>
        <xdr:cNvSpPr txBox="1"/>
      </xdr:nvSpPr>
      <xdr:spPr>
        <a:xfrm>
          <a:off x="16421100" y="62230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EDE-QS </a:t>
          </a:r>
          <a:r>
            <a:rPr lang="en-GB" sz="1200" b="0">
              <a:solidFill>
                <a:schemeClr val="bg1"/>
              </a:solidFill>
              <a:latin typeface="+mj-lt"/>
            </a:rPr>
            <a:t>norms</a:t>
          </a:r>
        </a:p>
      </xdr:txBody>
    </xdr:sp>
    <xdr:clientData/>
  </xdr:oneCellAnchor>
  <xdr:oneCellAnchor>
    <xdr:from>
      <xdr:col>12</xdr:col>
      <xdr:colOff>0</xdr:colOff>
      <xdr:row>16</xdr:row>
      <xdr:rowOff>0</xdr:rowOff>
    </xdr:from>
    <xdr:ext cx="1368000" cy="224224"/>
    <xdr:sp macro="" textlink="">
      <xdr:nvSpPr>
        <xdr:cNvPr id="22" name="TextBox 21">
          <a:hlinkClick xmlns:r="http://schemas.openxmlformats.org/officeDocument/2006/relationships" r:id="rId27"/>
          <a:extLst>
            <a:ext uri="{FF2B5EF4-FFF2-40B4-BE49-F238E27FC236}">
              <a16:creationId xmlns:a16="http://schemas.microsoft.com/office/drawing/2014/main" id="{136A5D3C-4495-D24E-A51C-5D0CE0EFA65D}"/>
            </a:ext>
          </a:extLst>
        </xdr:cNvPr>
        <xdr:cNvSpPr txBox="1"/>
      </xdr:nvSpPr>
      <xdr:spPr>
        <a:xfrm>
          <a:off x="16421100" y="43561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PCL-5 </a:t>
          </a:r>
          <a:r>
            <a:rPr lang="en-GB" sz="1200" b="0">
              <a:solidFill>
                <a:schemeClr val="bg1"/>
              </a:solidFill>
              <a:latin typeface="+mj-lt"/>
            </a:rPr>
            <a:t>norms</a:t>
          </a:r>
        </a:p>
      </xdr:txBody>
    </xdr:sp>
    <xdr:clientData/>
  </xdr:oneCellAnchor>
  <xdr:oneCellAnchor>
    <xdr:from>
      <xdr:col>12</xdr:col>
      <xdr:colOff>0</xdr:colOff>
      <xdr:row>17</xdr:row>
      <xdr:rowOff>0</xdr:rowOff>
    </xdr:from>
    <xdr:ext cx="1368000" cy="224224"/>
    <xdr:sp macro="" textlink="">
      <xdr:nvSpPr>
        <xdr:cNvPr id="23" name="TextBox 22">
          <a:hlinkClick xmlns:r="http://schemas.openxmlformats.org/officeDocument/2006/relationships" r:id="rId28"/>
          <a:extLst>
            <a:ext uri="{FF2B5EF4-FFF2-40B4-BE49-F238E27FC236}">
              <a16:creationId xmlns:a16="http://schemas.microsoft.com/office/drawing/2014/main" id="{8BDAC04B-DDCC-6E4E-810D-C36637BD4F8F}"/>
            </a:ext>
          </a:extLst>
        </xdr:cNvPr>
        <xdr:cNvSpPr txBox="1"/>
      </xdr:nvSpPr>
      <xdr:spPr>
        <a:xfrm>
          <a:off x="16421100" y="46101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EDE-Q </a:t>
          </a:r>
          <a:r>
            <a:rPr lang="en-GB" sz="1200" b="0">
              <a:solidFill>
                <a:schemeClr val="bg1"/>
              </a:solidFill>
              <a:latin typeface="+mj-lt"/>
            </a:rPr>
            <a:t>norms</a:t>
          </a:r>
        </a:p>
      </xdr:txBody>
    </xdr:sp>
    <xdr:clientData/>
  </xdr:oneCellAnchor>
  <xdr:oneCellAnchor>
    <xdr:from>
      <xdr:col>12</xdr:col>
      <xdr:colOff>0</xdr:colOff>
      <xdr:row>28</xdr:row>
      <xdr:rowOff>15645</xdr:rowOff>
    </xdr:from>
    <xdr:ext cx="1368000" cy="224224"/>
    <xdr:sp macro="" textlink="">
      <xdr:nvSpPr>
        <xdr:cNvPr id="24" name="TextBox 23">
          <a:hlinkClick xmlns:r="http://schemas.openxmlformats.org/officeDocument/2006/relationships" r:id="rId29"/>
          <a:extLst>
            <a:ext uri="{FF2B5EF4-FFF2-40B4-BE49-F238E27FC236}">
              <a16:creationId xmlns:a16="http://schemas.microsoft.com/office/drawing/2014/main" id="{89E27102-3056-364E-B8FB-FC8C80138813}"/>
            </a:ext>
          </a:extLst>
        </xdr:cNvPr>
        <xdr:cNvSpPr txBox="1"/>
      </xdr:nvSpPr>
      <xdr:spPr>
        <a:xfrm>
          <a:off x="16421100" y="9273945"/>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PM</a:t>
          </a:r>
          <a:r>
            <a:rPr lang="en-GB" sz="1200" b="1">
              <a:solidFill>
                <a:schemeClr val="bg1"/>
              </a:solidFill>
              <a:latin typeface="+mj-lt"/>
            </a:rPr>
            <a:t>ERQ </a:t>
          </a:r>
          <a:r>
            <a:rPr lang="en-GB" sz="1200" b="0">
              <a:solidFill>
                <a:schemeClr val="bg1"/>
              </a:solidFill>
              <a:latin typeface="+mj-lt"/>
            </a:rPr>
            <a:t>norms</a:t>
          </a:r>
        </a:p>
      </xdr:txBody>
    </xdr:sp>
    <xdr:clientData/>
  </xdr:oneCellAnchor>
  <xdr:oneCellAnchor>
    <xdr:from>
      <xdr:col>12</xdr:col>
      <xdr:colOff>0</xdr:colOff>
      <xdr:row>13</xdr:row>
      <xdr:rowOff>0</xdr:rowOff>
    </xdr:from>
    <xdr:ext cx="1368000" cy="224224"/>
    <xdr:sp macro="" textlink="">
      <xdr:nvSpPr>
        <xdr:cNvPr id="12" name="TextBox 11">
          <a:hlinkClick xmlns:r="http://schemas.openxmlformats.org/officeDocument/2006/relationships" r:id="rId30"/>
          <a:extLst>
            <a:ext uri="{FF2B5EF4-FFF2-40B4-BE49-F238E27FC236}">
              <a16:creationId xmlns:a16="http://schemas.microsoft.com/office/drawing/2014/main" id="{2B9EF915-A455-4E45-994E-B81DDE101E3A}"/>
            </a:ext>
          </a:extLst>
        </xdr:cNvPr>
        <xdr:cNvSpPr txBox="1"/>
      </xdr:nvSpPr>
      <xdr:spPr>
        <a:xfrm>
          <a:off x="16421100" y="46863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BDI-II </a:t>
          </a:r>
          <a:r>
            <a:rPr lang="en-GB" sz="1200" b="0">
              <a:solidFill>
                <a:schemeClr val="bg1"/>
              </a:solidFill>
              <a:latin typeface="+mj-lt"/>
            </a:rPr>
            <a:t>norms</a:t>
          </a:r>
        </a:p>
      </xdr:txBody>
    </xdr:sp>
    <xdr:clientData/>
  </xdr:oneCellAnchor>
  <xdr:oneCellAnchor>
    <xdr:from>
      <xdr:col>12</xdr:col>
      <xdr:colOff>0</xdr:colOff>
      <xdr:row>14</xdr:row>
      <xdr:rowOff>0</xdr:rowOff>
    </xdr:from>
    <xdr:ext cx="1368000" cy="224224"/>
    <xdr:sp macro="" textlink="">
      <xdr:nvSpPr>
        <xdr:cNvPr id="13" name="TextBox 12">
          <a:hlinkClick xmlns:r="http://schemas.openxmlformats.org/officeDocument/2006/relationships" r:id="rId31"/>
          <a:extLst>
            <a:ext uri="{FF2B5EF4-FFF2-40B4-BE49-F238E27FC236}">
              <a16:creationId xmlns:a16="http://schemas.microsoft.com/office/drawing/2014/main" id="{DE2FC5B3-C9C6-584B-A440-3B2DBFFC350A}"/>
            </a:ext>
          </a:extLst>
        </xdr:cNvPr>
        <xdr:cNvSpPr txBox="1"/>
      </xdr:nvSpPr>
      <xdr:spPr>
        <a:xfrm>
          <a:off x="16421100" y="53340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BAI </a:t>
          </a:r>
          <a:r>
            <a:rPr lang="en-GB" sz="1200" b="0">
              <a:solidFill>
                <a:schemeClr val="bg1"/>
              </a:solidFill>
              <a:latin typeface="+mj-lt"/>
            </a:rPr>
            <a:t>norms</a:t>
          </a:r>
        </a:p>
      </xdr:txBody>
    </xdr:sp>
    <xdr:clientData/>
  </xdr:oneCellAnchor>
  <xdr:oneCellAnchor>
    <xdr:from>
      <xdr:col>11</xdr:col>
      <xdr:colOff>0</xdr:colOff>
      <xdr:row>214</xdr:row>
      <xdr:rowOff>0</xdr:rowOff>
    </xdr:from>
    <xdr:ext cx="1545804" cy="255514"/>
    <xdr:sp macro="" textlink="">
      <xdr:nvSpPr>
        <xdr:cNvPr id="19" name="TextBox 18">
          <a:hlinkClick xmlns:r="http://schemas.openxmlformats.org/officeDocument/2006/relationships" r:id="rId10"/>
          <a:extLst>
            <a:ext uri="{FF2B5EF4-FFF2-40B4-BE49-F238E27FC236}">
              <a16:creationId xmlns:a16="http://schemas.microsoft.com/office/drawing/2014/main" id="{48C8964F-B201-6647-B76F-B27C69A36609}"/>
            </a:ext>
          </a:extLst>
        </xdr:cNvPr>
        <xdr:cNvSpPr txBox="1"/>
      </xdr:nvSpPr>
      <xdr:spPr>
        <a:xfrm>
          <a:off x="11201400" y="631063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11</xdr:col>
      <xdr:colOff>0</xdr:colOff>
      <xdr:row>221</xdr:row>
      <xdr:rowOff>0</xdr:rowOff>
    </xdr:from>
    <xdr:ext cx="1545804" cy="255514"/>
    <xdr:sp macro="" textlink="">
      <xdr:nvSpPr>
        <xdr:cNvPr id="20" name="TextBox 19">
          <a:hlinkClick xmlns:r="http://schemas.openxmlformats.org/officeDocument/2006/relationships" r:id="rId10"/>
          <a:extLst>
            <a:ext uri="{FF2B5EF4-FFF2-40B4-BE49-F238E27FC236}">
              <a16:creationId xmlns:a16="http://schemas.microsoft.com/office/drawing/2014/main" id="{47A6F272-648A-D343-A8A6-6183EA1C9248}"/>
            </a:ext>
          </a:extLst>
        </xdr:cNvPr>
        <xdr:cNvSpPr txBox="1"/>
      </xdr:nvSpPr>
      <xdr:spPr>
        <a:xfrm>
          <a:off x="11201400" y="651510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11</xdr:col>
      <xdr:colOff>0</xdr:colOff>
      <xdr:row>271</xdr:row>
      <xdr:rowOff>0</xdr:rowOff>
    </xdr:from>
    <xdr:ext cx="1545804" cy="255514"/>
    <xdr:sp macro="" textlink="">
      <xdr:nvSpPr>
        <xdr:cNvPr id="38" name="TextBox 37">
          <a:hlinkClick xmlns:r="http://schemas.openxmlformats.org/officeDocument/2006/relationships" r:id="rId10"/>
          <a:extLst>
            <a:ext uri="{FF2B5EF4-FFF2-40B4-BE49-F238E27FC236}">
              <a16:creationId xmlns:a16="http://schemas.microsoft.com/office/drawing/2014/main" id="{B831E038-306B-064B-8470-8A0EAA5F99B8}"/>
            </a:ext>
          </a:extLst>
        </xdr:cNvPr>
        <xdr:cNvSpPr txBox="1"/>
      </xdr:nvSpPr>
      <xdr:spPr>
        <a:xfrm>
          <a:off x="11201400" y="631063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12</xdr:col>
      <xdr:colOff>0</xdr:colOff>
      <xdr:row>38</xdr:row>
      <xdr:rowOff>0</xdr:rowOff>
    </xdr:from>
    <xdr:ext cx="1368000" cy="224224"/>
    <xdr:sp macro="" textlink="">
      <xdr:nvSpPr>
        <xdr:cNvPr id="39" name="TextBox 38">
          <a:hlinkClick xmlns:r="http://schemas.openxmlformats.org/officeDocument/2006/relationships" r:id="rId32"/>
          <a:extLst>
            <a:ext uri="{FF2B5EF4-FFF2-40B4-BE49-F238E27FC236}">
              <a16:creationId xmlns:a16="http://schemas.microsoft.com/office/drawing/2014/main" id="{33FE2EF2-6D95-A742-AFB0-22D7C5DEF0CD}"/>
            </a:ext>
          </a:extLst>
        </xdr:cNvPr>
        <xdr:cNvSpPr txBox="1"/>
      </xdr:nvSpPr>
      <xdr:spPr>
        <a:xfrm>
          <a:off x="16421100" y="13246100"/>
          <a:ext cx="1368000" cy="2242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noAutofit/>
        </a:bodyPr>
        <a:lstStyle/>
        <a:p>
          <a:pPr algn="ctr"/>
          <a:r>
            <a:rPr lang="en-GB" sz="1200" b="0">
              <a:solidFill>
                <a:schemeClr val="bg1"/>
              </a:solidFill>
              <a:latin typeface="+mj-lt"/>
            </a:rPr>
            <a:t>View </a:t>
          </a:r>
          <a:r>
            <a:rPr lang="en-GB" sz="1200" b="1">
              <a:solidFill>
                <a:schemeClr val="bg1"/>
              </a:solidFill>
              <a:latin typeface="+mj-lt"/>
            </a:rPr>
            <a:t>YSQ-R </a:t>
          </a:r>
          <a:r>
            <a:rPr lang="en-GB" sz="1200" b="0">
              <a:solidFill>
                <a:schemeClr val="bg1"/>
              </a:solidFill>
              <a:latin typeface="+mj-lt"/>
            </a:rPr>
            <a:t>norms</a:t>
          </a:r>
        </a:p>
      </xdr:txBody>
    </xdr:sp>
    <xdr:clientData/>
  </xdr:oneCellAnchor>
  <xdr:oneCellAnchor>
    <xdr:from>
      <xdr:col>11</xdr:col>
      <xdr:colOff>0</xdr:colOff>
      <xdr:row>63</xdr:row>
      <xdr:rowOff>0</xdr:rowOff>
    </xdr:from>
    <xdr:ext cx="1545804" cy="255514"/>
    <xdr:sp macro="" textlink="">
      <xdr:nvSpPr>
        <xdr:cNvPr id="40" name="TextBox 39">
          <a:hlinkClick xmlns:r="http://schemas.openxmlformats.org/officeDocument/2006/relationships" r:id="rId10"/>
          <a:extLst>
            <a:ext uri="{FF2B5EF4-FFF2-40B4-BE49-F238E27FC236}">
              <a16:creationId xmlns:a16="http://schemas.microsoft.com/office/drawing/2014/main" id="{16B004EF-4EDD-AC4A-99EC-9AE0EF8C8CB7}"/>
            </a:ext>
          </a:extLst>
        </xdr:cNvPr>
        <xdr:cNvSpPr txBox="1"/>
      </xdr:nvSpPr>
      <xdr:spPr>
        <a:xfrm>
          <a:off x="11201400" y="202184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11</xdr:col>
      <xdr:colOff>0</xdr:colOff>
      <xdr:row>88</xdr:row>
      <xdr:rowOff>0</xdr:rowOff>
    </xdr:from>
    <xdr:ext cx="1545804" cy="255514"/>
    <xdr:sp macro="" textlink="">
      <xdr:nvSpPr>
        <xdr:cNvPr id="41" name="TextBox 40">
          <a:hlinkClick xmlns:r="http://schemas.openxmlformats.org/officeDocument/2006/relationships" r:id="rId10"/>
          <a:extLst>
            <a:ext uri="{FF2B5EF4-FFF2-40B4-BE49-F238E27FC236}">
              <a16:creationId xmlns:a16="http://schemas.microsoft.com/office/drawing/2014/main" id="{578270AB-AA04-A140-9047-13EDD24BBCAB}"/>
            </a:ext>
          </a:extLst>
        </xdr:cNvPr>
        <xdr:cNvSpPr txBox="1"/>
      </xdr:nvSpPr>
      <xdr:spPr>
        <a:xfrm>
          <a:off x="11201400" y="271653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11</xdr:col>
      <xdr:colOff>0</xdr:colOff>
      <xdr:row>115</xdr:row>
      <xdr:rowOff>0</xdr:rowOff>
    </xdr:from>
    <xdr:ext cx="1545804" cy="255514"/>
    <xdr:sp macro="" textlink="">
      <xdr:nvSpPr>
        <xdr:cNvPr id="42" name="TextBox 41">
          <a:hlinkClick xmlns:r="http://schemas.openxmlformats.org/officeDocument/2006/relationships" r:id="rId10"/>
          <a:extLst>
            <a:ext uri="{FF2B5EF4-FFF2-40B4-BE49-F238E27FC236}">
              <a16:creationId xmlns:a16="http://schemas.microsoft.com/office/drawing/2014/main" id="{81C9565C-9592-854A-B838-D5023B9AEF63}"/>
            </a:ext>
          </a:extLst>
        </xdr:cNvPr>
        <xdr:cNvSpPr txBox="1"/>
      </xdr:nvSpPr>
      <xdr:spPr>
        <a:xfrm>
          <a:off x="11201400" y="348107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11</xdr:col>
      <xdr:colOff>0</xdr:colOff>
      <xdr:row>130</xdr:row>
      <xdr:rowOff>0</xdr:rowOff>
    </xdr:from>
    <xdr:ext cx="1545804" cy="255514"/>
    <xdr:sp macro="" textlink="">
      <xdr:nvSpPr>
        <xdr:cNvPr id="43" name="TextBox 42">
          <a:hlinkClick xmlns:r="http://schemas.openxmlformats.org/officeDocument/2006/relationships" r:id="rId10"/>
          <a:extLst>
            <a:ext uri="{FF2B5EF4-FFF2-40B4-BE49-F238E27FC236}">
              <a16:creationId xmlns:a16="http://schemas.microsoft.com/office/drawing/2014/main" id="{30FBB43B-E10B-2648-9A66-683934D6EFF7}"/>
            </a:ext>
          </a:extLst>
        </xdr:cNvPr>
        <xdr:cNvSpPr txBox="1"/>
      </xdr:nvSpPr>
      <xdr:spPr>
        <a:xfrm>
          <a:off x="11201400" y="390144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11</xdr:col>
      <xdr:colOff>0</xdr:colOff>
      <xdr:row>183</xdr:row>
      <xdr:rowOff>0</xdr:rowOff>
    </xdr:from>
    <xdr:ext cx="1545804" cy="255514"/>
    <xdr:sp macro="" textlink="">
      <xdr:nvSpPr>
        <xdr:cNvPr id="45" name="TextBox 44">
          <a:hlinkClick xmlns:r="http://schemas.openxmlformats.org/officeDocument/2006/relationships" r:id="rId10"/>
          <a:extLst>
            <a:ext uri="{FF2B5EF4-FFF2-40B4-BE49-F238E27FC236}">
              <a16:creationId xmlns:a16="http://schemas.microsoft.com/office/drawing/2014/main" id="{3C6D6B93-4F36-1E4A-8AA8-DBABAD9B0D83}"/>
            </a:ext>
          </a:extLst>
        </xdr:cNvPr>
        <xdr:cNvSpPr txBox="1"/>
      </xdr:nvSpPr>
      <xdr:spPr>
        <a:xfrm>
          <a:off x="11201400" y="648970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oneCellAnchor>
    <xdr:from>
      <xdr:col>11</xdr:col>
      <xdr:colOff>0</xdr:colOff>
      <xdr:row>43</xdr:row>
      <xdr:rowOff>0</xdr:rowOff>
    </xdr:from>
    <xdr:ext cx="1545804" cy="255514"/>
    <xdr:sp macro="" textlink="">
      <xdr:nvSpPr>
        <xdr:cNvPr id="16" name="TextBox 15">
          <a:hlinkClick xmlns:r="http://schemas.openxmlformats.org/officeDocument/2006/relationships" r:id="rId10"/>
          <a:extLst>
            <a:ext uri="{FF2B5EF4-FFF2-40B4-BE49-F238E27FC236}">
              <a16:creationId xmlns:a16="http://schemas.microsoft.com/office/drawing/2014/main" id="{12F1D2A3-4799-1447-A21E-D5A06085DA6F}"/>
            </a:ext>
          </a:extLst>
        </xdr:cNvPr>
        <xdr:cNvSpPr txBox="1"/>
      </xdr:nvSpPr>
      <xdr:spPr>
        <a:xfrm>
          <a:off x="11201400" y="13373100"/>
          <a:ext cx="1545804" cy="25551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none" lIns="18000" tIns="18000" rIns="18000" bIns="18000" rtlCol="0" anchor="ctr" anchorCtr="0">
          <a:spAutoFit/>
        </a:bodyPr>
        <a:lstStyle/>
        <a:p>
          <a:pPr algn="ctr"/>
          <a:r>
            <a:rPr lang="en-GB" sz="1400" b="0">
              <a:solidFill>
                <a:schemeClr val="bg1"/>
              </a:solidFill>
              <a:latin typeface="+mj-lt"/>
            </a:rPr>
            <a:t>Return to index (top)</a:t>
          </a: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3B338CC-27D9-D342-8635-82F879C3C65B}" name="PAQ" displayName="PAQ" ref="A73:E85" totalsRowShown="0" headerRowDxfId="87" dataDxfId="86" tableBorderDxfId="85">
  <autoFilter ref="A73:E85" xr:uid="{13B338CC-27D9-D342-8635-82F879C3C65B}">
    <filterColumn colId="0" hiddenButton="1"/>
    <filterColumn colId="1" hiddenButton="1"/>
    <filterColumn colId="2" hiddenButton="1"/>
    <filterColumn colId="3" hiddenButton="1"/>
    <filterColumn colId="4" hiddenButton="1"/>
  </autoFilter>
  <tableColumns count="5">
    <tableColumn id="1" xr3:uid="{E5B5101D-2919-6345-BD28-E52BDC2C204F}" name="Subscales" dataDxfId="84"/>
    <tableColumn id="2" xr3:uid="{82B80D9B-87C7-804F-BFF9-E1BEBC163C8E}" name="M" dataDxfId="83"/>
    <tableColumn id="3" xr3:uid="{D9F6DA75-D03A-0C4D-8C69-E2952F3A2331}" name="SD" dataDxfId="82"/>
    <tableColumn id="4" xr3:uid="{C4BCF170-0359-D543-A531-85DE241045DB}" name="Range" dataDxfId="81"/>
    <tableColumn id="5" xr3:uid="{892DD999-7487-604C-8652-5899310AFA44}" name="Cronbach's α" dataDxfId="80"/>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2FC898C-68A0-E340-B0BB-A57E5CD5FD96}" name="PERCI" displayName="PERCI" ref="A98:E112" totalsRowShown="0" headerRowDxfId="79" dataDxfId="78" tableBorderDxfId="77">
  <autoFilter ref="A98:E112" xr:uid="{E2FC898C-68A0-E340-B0BB-A57E5CD5FD96}">
    <filterColumn colId="0" hiddenButton="1"/>
    <filterColumn colId="1" hiddenButton="1"/>
    <filterColumn colId="2" hiddenButton="1"/>
    <filterColumn colId="3" hiddenButton="1"/>
    <filterColumn colId="4" hiddenButton="1"/>
  </autoFilter>
  <tableColumns count="5">
    <tableColumn id="1" xr3:uid="{2B3EFA02-05A6-A948-BC09-20EF3243BEC3}" name="Subscales" dataDxfId="76"/>
    <tableColumn id="2" xr3:uid="{4028E90D-0971-8340-9662-93CFD882EC15}" name="M" dataDxfId="75"/>
    <tableColumn id="3" xr3:uid="{CB1091E7-D696-FD40-A333-C9D01FA791B2}" name="SD" dataDxfId="74"/>
    <tableColumn id="4" xr3:uid="{F04CAEEE-6C00-5544-8EA1-BAE79F54FFFE}" name="Range" dataDxfId="73"/>
    <tableColumn id="5" xr3:uid="{7466CD71-EEA9-D34A-AEFF-60F2FE88C478}" name="Cronbach's α" dataDxfId="72"/>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CA3E40D-9595-874C-9954-54D1D6E4CFD4}" name="PERS_S" displayName="PERS_S" ref="A133:E142" totalsRowShown="0" headerRowDxfId="71" dataDxfId="70" tableBorderDxfId="69">
  <autoFilter ref="A133:E142" xr:uid="{7CA3E40D-9595-874C-9954-54D1D6E4CFD4}">
    <filterColumn colId="0" hiddenButton="1"/>
    <filterColumn colId="1" hiddenButton="1"/>
    <filterColumn colId="2" hiddenButton="1"/>
    <filterColumn colId="3" hiddenButton="1"/>
    <filterColumn colId="4" hiddenButton="1"/>
  </autoFilter>
  <tableColumns count="5">
    <tableColumn id="1" xr3:uid="{C80AFE53-7AD4-2A49-8827-AE1A1EEAC738}" name="Subscales" dataDxfId="68"/>
    <tableColumn id="2" xr3:uid="{3E41A979-5518-AA46-9B69-1AF5B5F82524}" name="M" dataDxfId="67"/>
    <tableColumn id="3" xr3:uid="{AD97836A-D8F2-E24F-94D1-CFBFF517C9A8}" name="SD" dataDxfId="66"/>
    <tableColumn id="4" xr3:uid="{AC1E2734-B4EE-D748-9844-2261C17E3C74}" name="Range" dataDxfId="65"/>
    <tableColumn id="5" xr3:uid="{43DFB896-5481-6D45-8648-6A384ADAFC64}" name="Cronbach's α" dataDxfId="64"/>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8DFAC2C-7D3F-E34F-B82B-1F5172F762FB}" name="EBQ" displayName="EBQ" ref="A148:E156" totalsRowShown="0" headerRowDxfId="63" dataDxfId="62" tableBorderDxfId="61">
  <autoFilter ref="A148:E156" xr:uid="{38DFAC2C-7D3F-E34F-B82B-1F5172F762FB}">
    <filterColumn colId="0" hiddenButton="1"/>
    <filterColumn colId="1" hiddenButton="1"/>
    <filterColumn colId="2" hiddenButton="1"/>
    <filterColumn colId="3" hiddenButton="1"/>
    <filterColumn colId="4" hiddenButton="1"/>
  </autoFilter>
  <tableColumns count="5">
    <tableColumn id="1" xr3:uid="{CDE1BB9C-23D9-DB47-96D1-B499797BAB11}" name="Subscales" dataDxfId="60"/>
    <tableColumn id="2" xr3:uid="{CBBE47C8-8CBD-F04C-88F4-5181D8EC7080}" name="M" dataDxfId="59"/>
    <tableColumn id="3" xr3:uid="{0CDB53BF-F1C4-174F-BDFA-F244D289AB32}" name="SD" dataDxfId="58"/>
    <tableColumn id="4" xr3:uid="{B644EB0D-B66E-E847-A208-4F704C47A236}" name="Range" dataDxfId="57"/>
    <tableColumn id="5" xr3:uid="{15934A5F-30C1-8541-9F6F-59D098652056}" name="Cronbach's α" dataDxfId="56"/>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01C47A4-5234-3343-9642-0BAA03E5BA9E}" name="ERQ" displayName="ERQ" ref="A162:E164" totalsRowShown="0" headerRowDxfId="55" dataDxfId="54" tableBorderDxfId="53">
  <autoFilter ref="A162:E164" xr:uid="{901C47A4-5234-3343-9642-0BAA03E5BA9E}">
    <filterColumn colId="0" hiddenButton="1"/>
    <filterColumn colId="1" hiddenButton="1"/>
    <filterColumn colId="2" hiddenButton="1"/>
    <filterColumn colId="3" hiddenButton="1"/>
    <filterColumn colId="4" hiddenButton="1"/>
  </autoFilter>
  <tableColumns count="5">
    <tableColumn id="1" xr3:uid="{44D892F5-3F76-F049-AD08-3D647856C342}" name="Subscales" dataDxfId="52"/>
    <tableColumn id="2" xr3:uid="{8E1D6D0F-4D7C-BE44-9844-4D51A06D5AEB}" name="M" dataDxfId="51"/>
    <tableColumn id="3" xr3:uid="{9EE2C0F1-066B-A849-B1BB-9255D34A54BB}" name="SD" dataDxfId="50"/>
    <tableColumn id="4" xr3:uid="{7E9F4B97-206B-BF46-A9E2-2DE06C23F139}" name="Possible Range" dataDxfId="49"/>
    <tableColumn id="5" xr3:uid="{B6B59A2D-5FA6-5048-8F26-40BC2E6BECE8}" name="Cronbach's α" dataDxfId="48"/>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73F279-E820-F640-A40E-93CB1EF73B38}" name="PID_5" displayName="PID_5" ref="A224:E255" totalsRowShown="0" headerRowDxfId="47" dataDxfId="46" tableBorderDxfId="45">
  <autoFilter ref="A224:E255" xr:uid="{0073F279-E820-F640-A40E-93CB1EF73B38}">
    <filterColumn colId="0" hiddenButton="1"/>
    <filterColumn colId="1" hiddenButton="1"/>
    <filterColumn colId="2" hiddenButton="1"/>
    <filterColumn colId="3" hiddenButton="1"/>
    <filterColumn colId="4" hiddenButton="1"/>
  </autoFilter>
  <tableColumns count="5">
    <tableColumn id="1" xr3:uid="{44F067DA-DB76-9F41-B989-317DF86E1A13}" name="Subscales" dataDxfId="44"/>
    <tableColumn id="2" xr3:uid="{972A0CDC-5864-3A4D-9967-E649CFA8DA8E}" name="M" dataDxfId="43"/>
    <tableColumn id="3" xr3:uid="{2DB9A0AB-B310-474B-B313-53DD4C8F7F03}" name="SD" dataDxfId="42"/>
    <tableColumn id="4" xr3:uid="{9D27F1C7-0121-174B-8FED-5EA98EDA3BC4}" name="Range" dataDxfId="41"/>
    <tableColumn id="5" xr3:uid="{5CE56457-1994-9F49-9586-DA4F0B8B135F}" name="Cronbach's α" dataDxfId="40"/>
  </tableColumns>
  <tableStyleInfo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20226F-9416-9945-9B4E-6CAB10D3111C}" name="PID_5_BF" displayName="PID_5_BF" ref="A262:E267" totalsRowShown="0" headerRowDxfId="39" dataDxfId="38" tableBorderDxfId="37">
  <autoFilter ref="A262:E267" xr:uid="{EA20226F-9416-9945-9B4E-6CAB10D3111C}">
    <filterColumn colId="0" hiddenButton="1"/>
    <filterColumn colId="1" hiddenButton="1"/>
    <filterColumn colId="2" hiddenButton="1"/>
    <filterColumn colId="3" hiddenButton="1"/>
    <filterColumn colId="4" hiddenButton="1"/>
  </autoFilter>
  <tableColumns count="5">
    <tableColumn id="1" xr3:uid="{41C7AA09-2F97-D64B-A166-17EA3CDC0FAC}" name="Primary Personality Domains" dataDxfId="36"/>
    <tableColumn id="2" xr3:uid="{1BAE6754-BF42-D342-8EE2-8BB2DEDA497E}" name="M" dataDxfId="35"/>
    <tableColumn id="3" xr3:uid="{D70060BC-BB71-5B42-9BD5-D2009A709841}" name="SD" dataDxfId="34"/>
    <tableColumn id="4" xr3:uid="{7955E633-F02C-574D-AEED-C0E4D2DD34CD}" name="Range" dataDxfId="33"/>
    <tableColumn id="5" xr3:uid="{A0398433-599E-294E-B0A5-6DA37B00AA9E}" name="Cronbach's α" dataDxfId="32"/>
  </tableColumns>
  <tableStyleInfo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171F6C2-DF65-454E-9E71-92F1A4B0D69A}" name="PERS" displayName="PERS" ref="A118:E127" totalsRowShown="0" headerRowDxfId="31" dataDxfId="30" tableBorderDxfId="29">
  <autoFilter ref="A118:E127" xr:uid="{3171F6C2-DF65-454E-9E71-92F1A4B0D69A}">
    <filterColumn colId="0" hiddenButton="1"/>
    <filterColumn colId="1" hiddenButton="1"/>
    <filterColumn colId="2" hiddenButton="1"/>
    <filterColumn colId="3" hiddenButton="1"/>
    <filterColumn colId="4" hiddenButton="1"/>
  </autoFilter>
  <tableColumns count="5">
    <tableColumn id="1" xr3:uid="{38C168B8-FA27-4B49-A2CD-B03A3D1166F7}" name="Subscales" dataDxfId="28"/>
    <tableColumn id="2" xr3:uid="{E5A4A5AD-86E8-6D4C-A02D-60A11B8A9AB0}" name="M" dataDxfId="27"/>
    <tableColumn id="3" xr3:uid="{497744D5-0408-A744-AE33-3CB42293939A}" name="SD" dataDxfId="26"/>
    <tableColumn id="4" xr3:uid="{FF77EE00-56FA-B547-B9D9-373CEACF305E}" name="Range" dataDxfId="25"/>
    <tableColumn id="5" xr3:uid="{B89B36C0-9F22-FC49-AFC0-8D9A6133AEAF}" name="Cronbach's α" dataDxfId="24"/>
  </tableColumns>
  <tableStyleInfo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CEC38D-80E7-184F-B0F0-98203F723C18}" name="PES" displayName="PES" ref="A186:E194" totalsRowShown="0" headerRowDxfId="23" dataDxfId="22" tableBorderDxfId="21">
  <autoFilter ref="A186:E194" xr:uid="{40CEC38D-80E7-184F-B0F0-98203F723C18}">
    <filterColumn colId="0" hiddenButton="1"/>
    <filterColumn colId="1" hiddenButton="1"/>
    <filterColumn colId="2" hiddenButton="1"/>
    <filterColumn colId="3" hiddenButton="1"/>
    <filterColumn colId="4" hiddenButton="1"/>
  </autoFilter>
  <tableColumns count="5">
    <tableColumn id="1" xr3:uid="{E4EDD127-4194-EC48-B29C-CF876EA48AEC}" name="Subscales" dataDxfId="20"/>
    <tableColumn id="2" xr3:uid="{36F80BD9-E158-1448-BE63-E331CC351519}" name="M" dataDxfId="19"/>
    <tableColumn id="3" xr3:uid="{D86BCF08-701C-084C-8FE3-E093548D09DA}" name="SD" dataDxfId="18"/>
    <tableColumn id="4" xr3:uid="{2B943A7F-54DD-B047-8431-676AB9CB181C}" name="Possible Range" dataDxfId="17"/>
    <tableColumn id="5" xr3:uid="{816889C7-1674-8147-8D2B-1F473EBA1886}" name="Cronbach's α" dataDxfId="16"/>
  </tableColumns>
  <tableStyleInfo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E92B4D-E4FD-8842-8121-79BF28592B6B}" name="PAQ_S" displayName="PAQ_S" ref="A91:E92" totalsRowShown="0" headerRowDxfId="15" dataDxfId="14" tableBorderDxfId="13">
  <autoFilter ref="A91:E92" xr:uid="{F3E92B4D-E4FD-8842-8121-79BF28592B6B}">
    <filterColumn colId="0" hiddenButton="1"/>
    <filterColumn colId="1" hiddenButton="1"/>
    <filterColumn colId="2" hiddenButton="1"/>
    <filterColumn colId="3" hiddenButton="1"/>
    <filterColumn colId="4" hiddenButton="1"/>
  </autoFilter>
  <tableColumns count="5">
    <tableColumn id="1" xr3:uid="{74751166-3864-CA47-B0D6-B6491A92A26A}" name="Total scale score" dataDxfId="12"/>
    <tableColumn id="2" xr3:uid="{31404E89-C006-2041-9EEA-3A8C9AF939F4}" name="M" dataDxfId="11"/>
    <tableColumn id="3" xr3:uid="{4B5F9B85-A8AB-B84C-853A-CD3F57D4EBBF}" name="SD" dataDxfId="10"/>
    <tableColumn id="4" xr3:uid="{92013E31-8803-F249-9E16-ACE6BF47AA6E}" name="Range" dataDxfId="9"/>
    <tableColumn id="5" xr3:uid="{5FD9391B-B2E0-2F46-8E0E-4263EF803635}" name="Cronbach's α" dataDxfId="8"/>
  </tableColumns>
  <tableStyleInfo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51F5F1B-9944-2241-BBBD-931ACB0680AE}" name="PMERQ" displayName="PMERQ" ref="A170:E180" totalsRowShown="0" headerRowDxfId="7" dataDxfId="6" tableBorderDxfId="5">
  <autoFilter ref="A170:E180" xr:uid="{951F5F1B-9944-2241-BBBD-931ACB0680AE}">
    <filterColumn colId="0" hiddenButton="1"/>
    <filterColumn colId="1" hiddenButton="1"/>
    <filterColumn colId="2" hiddenButton="1"/>
    <filterColumn colId="3" hiddenButton="1"/>
    <filterColumn colId="4" hiddenButton="1"/>
  </autoFilter>
  <tableColumns count="5">
    <tableColumn id="1" xr3:uid="{679963A0-22EF-9744-BFB0-CAE544D89103}" name="Subscales" dataDxfId="4"/>
    <tableColumn id="2" xr3:uid="{67DD56DD-5ED8-9E4C-8A57-D850F32FFEAE}" name="M" dataDxfId="3"/>
    <tableColumn id="3" xr3:uid="{EFDD6096-6CCF-8349-AC2F-C59AB8BD9FE2}" name="SD" dataDxfId="2"/>
    <tableColumn id="4" xr3:uid="{302A5CE1-FDD8-964F-A33B-2D9B61215D3A}" name="Possible Range" dataDxfId="1"/>
    <tableColumn id="5" xr3:uid="{6EA84FBE-3A9D-674D-8276-3B8D9CA2288F}" name="Cronbach's α" dataDxfId="0"/>
  </tableColumns>
  <tableStyleInfo showFirstColumn="0" showLastColumn="0" showRowStripes="0" showColumnStripes="0"/>
</table>
</file>

<file path=xl/theme/theme1.xml><?xml version="1.0" encoding="utf-8"?>
<a:theme xmlns:a="http://schemas.openxmlformats.org/drawingml/2006/main" name="Black Swan PAT v1">
  <a:themeElements>
    <a:clrScheme name="Psychology Centre of WA">
      <a:dk1>
        <a:srgbClr val="000000"/>
      </a:dk1>
      <a:lt1>
        <a:srgbClr val="FFFFFF"/>
      </a:lt1>
      <a:dk2>
        <a:srgbClr val="4B4E53"/>
      </a:dk2>
      <a:lt2>
        <a:srgbClr val="868896"/>
      </a:lt2>
      <a:accent1>
        <a:srgbClr val="00386C"/>
      </a:accent1>
      <a:accent2>
        <a:srgbClr val="337B92"/>
      </a:accent2>
      <a:accent3>
        <a:srgbClr val="9DD9D2"/>
      </a:accent3>
      <a:accent4>
        <a:srgbClr val="F7C648"/>
      </a:accent4>
      <a:accent5>
        <a:srgbClr val="FC7957"/>
      </a:accent5>
      <a:accent6>
        <a:srgbClr val="820933"/>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Black Swan PAT v1" id="{FB3C5446-B955-4742-8F65-09640EB05F35}" vid="{7980DA6C-49DD-AD46-89F6-9EC972BE6EBC}"/>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pl.stanford.edu/resources" TargetMode="External"/><Relationship Id="rId13" Type="http://schemas.openxmlformats.org/officeDocument/2006/relationships/hyperlink" Target="https://www.autismresearchcentre.com/tests/autism-spectrum-quotient-10-items-aq-10-adult/" TargetMode="External"/><Relationship Id="rId18" Type="http://schemas.openxmlformats.org/officeDocument/2006/relationships/hyperlink" Target="https://jamanetwork.com/journals/jamainternalmedicine/fullarticle/410326" TargetMode="External"/><Relationship Id="rId26" Type="http://schemas.openxmlformats.org/officeDocument/2006/relationships/hyperlink" Target="https://www.ptsd.va.gov/professional/assessment/adult-sr/ptsd-checklist.asp" TargetMode="External"/><Relationship Id="rId3" Type="http://schemas.openxmlformats.org/officeDocument/2006/relationships/hyperlink" Target="https://www.researchgate.net/publication/326547664_Perth_Emotion_Regulation_Competency_Inventory_PERCI_Copy_of_questionnaire_and_scoring_instructions" TargetMode="External"/><Relationship Id="rId21" Type="http://schemas.openxmlformats.org/officeDocument/2006/relationships/hyperlink" Target="http://www2.psy.unsw.edu.au/dass/" TargetMode="External"/><Relationship Id="rId34" Type="http://schemas.openxmlformats.org/officeDocument/2006/relationships/drawing" Target="../drawings/drawing1.xml"/><Relationship Id="rId7" Type="http://schemas.openxmlformats.org/officeDocument/2006/relationships/hyperlink" Target="https://www.psychiatry.org/psychiatrists/practice/dsm/educational-resources/assessment-measures" TargetMode="External"/><Relationship Id="rId12" Type="http://schemas.openxmlformats.org/officeDocument/2006/relationships/hyperlink" Target="https://www.autismresearchcentre.com/tests/autism-spectrum-quotient-aq-adult/" TargetMode="External"/><Relationship Id="rId17" Type="http://schemas.openxmlformats.org/officeDocument/2006/relationships/hyperlink" Target="https://www.hcp.med.harvard.edu/ncs/k6_scales.php" TargetMode="External"/><Relationship Id="rId25" Type="http://schemas.openxmlformats.org/officeDocument/2006/relationships/hyperlink" Target="https://journals.sagepub.com/doi/abs/10.1177/10731911221134601" TargetMode="External"/><Relationship Id="rId33" Type="http://schemas.openxmlformats.org/officeDocument/2006/relationships/printerSettings" Target="../printerSettings/printerSettings1.bin"/><Relationship Id="rId2" Type="http://schemas.openxmlformats.org/officeDocument/2006/relationships/hyperlink" Target="https://www.researchgate.net/publication/314157839_Perth_Emotional_Reactivity_Scale_PERS_Copy_of_questionnaire_and_scoring_instructions" TargetMode="External"/><Relationship Id="rId16" Type="http://schemas.openxmlformats.org/officeDocument/2006/relationships/hyperlink" Target="http://www2.psy.unsw.edu.au/dass/down.htm" TargetMode="External"/><Relationship Id="rId20" Type="http://schemas.openxmlformats.org/officeDocument/2006/relationships/hyperlink" Target="https://nida.nih.gov/sites/default/files/audit.pdf" TargetMode="External"/><Relationship Id="rId29" Type="http://schemas.openxmlformats.org/officeDocument/2006/relationships/hyperlink" Target="https://scholar.google.com/citations?user=Q9_5-gcAAAAJ&amp;hl=en&amp;oi=ao" TargetMode="External"/><Relationship Id="rId1" Type="http://schemas.openxmlformats.org/officeDocument/2006/relationships/hyperlink" Target="https://www.researchgate.net/publication/325345117_Perth_Alexithymia_Questionnaire_PAQ_Copy_of_questionnaire_and_scoring_instructions" TargetMode="External"/><Relationship Id="rId6" Type="http://schemas.openxmlformats.org/officeDocument/2006/relationships/hyperlink" Target="https://www.psychiatry.org/psychiatrists/practice/dsm/educational-resources/assessment-measures" TargetMode="External"/><Relationship Id="rId11" Type="http://schemas.openxmlformats.org/officeDocument/2006/relationships/hyperlink" Target="https://www.hcp.med.harvard.edu/ncs/ftpdir/adhd/18Q_ASRS_English.pdf" TargetMode="External"/><Relationship Id="rId24" Type="http://schemas.openxmlformats.org/officeDocument/2006/relationships/hyperlink" Target="https://journals.plos.org/plosone/article?id=10.1371/journal.pone.0152744" TargetMode="External"/><Relationship Id="rId32" Type="http://schemas.openxmlformats.org/officeDocument/2006/relationships/hyperlink" Target="https://emotionpsychopathologylab.com/" TargetMode="External"/><Relationship Id="rId5" Type="http://schemas.openxmlformats.org/officeDocument/2006/relationships/hyperlink" Target="https://www.researchgate.net/publication/340660428_Emotion_Beliefs_Questionnaire_EBQ_Copy_of_questionnaire_and_scoring_instructions" TargetMode="External"/><Relationship Id="rId15" Type="http://schemas.openxmlformats.org/officeDocument/2006/relationships/hyperlink" Target="https://www.psychiatry.org/psychiatrists/practice/dsm/educational-resources/assessment-measures" TargetMode="External"/><Relationship Id="rId23" Type="http://schemas.openxmlformats.org/officeDocument/2006/relationships/hyperlink" Target="https://www.corc.uk.net/outcome-experience-measures/eating-disorder-examination-questionnaire-ede-q/" TargetMode="External"/><Relationship Id="rId28" Type="http://schemas.openxmlformats.org/officeDocument/2006/relationships/hyperlink" Target="https://www.pearsonassessments.com/store/usassessments/en/Store/Professional-Assessments/Personality-%26-Biopsychosocial/Beck-Anxiety-Inventory/p/100000251.html" TargetMode="External"/><Relationship Id="rId10" Type="http://schemas.openxmlformats.org/officeDocument/2006/relationships/hyperlink" Target="https://www.researchgate.net/publication/358919980_Perth_Empathy_Scale_PES_Copy_of_questionnaire_and_scoring_instructions" TargetMode="External"/><Relationship Id="rId19" Type="http://schemas.openxmlformats.org/officeDocument/2006/relationships/hyperlink" Target="https://www.apa.org/depression-guideline/patient-health-questionnaire.pdf" TargetMode="External"/><Relationship Id="rId31" Type="http://schemas.openxmlformats.org/officeDocument/2006/relationships/hyperlink" Target="https://psychologywa.com/" TargetMode="External"/><Relationship Id="rId4" Type="http://schemas.openxmlformats.org/officeDocument/2006/relationships/hyperlink" Target="https://www.researchgate.net/publication/325218063_Perth_Emotional_Reactivity_Scale-Short_Form_PERS-S_Copy_of_questionnaire_and_scoring_instructions" TargetMode="External"/><Relationship Id="rId9" Type="http://schemas.openxmlformats.org/officeDocument/2006/relationships/hyperlink" Target="https://psychologywa.com/" TargetMode="External"/><Relationship Id="rId14" Type="http://schemas.openxmlformats.org/officeDocument/2006/relationships/hyperlink" Target="https://mike-ology.github.io/CATI-questionnaire/" TargetMode="External"/><Relationship Id="rId22" Type="http://schemas.openxmlformats.org/officeDocument/2006/relationships/hyperlink" Target="https://www.tandfonline.com/doi/full/10.1080/00050067.2021.1979885?casa_token=cGI1FEGA30sAAAAA%3AnR-JzOAovMAiIzpm40gfNykwZk2cgVLA3iQcYN4Na2OQviBo3sAdYYpHWmWNIJ4KHGdMPK2HI-XZ" TargetMode="External"/><Relationship Id="rId27" Type="http://schemas.openxmlformats.org/officeDocument/2006/relationships/hyperlink" Target="https://www.pearsonclinical.com.au/store/auassessments/en/Store/Professional-Assessments/Personality-%26-Biopsychosocial/Beck-Depression-Inventory---Second-Edition/p/P100010016.html" TargetMode="External"/><Relationship Id="rId30" Type="http://schemas.openxmlformats.org/officeDocument/2006/relationships/hyperlink" Target="https://scholar.google.com/citations?user=L9XwcpcAAAAJ&amp;hl=en&amp;oi=ao"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hyperlink" Target="https://www.pearsonassessments.com/store/usassessments/en/Store/Professional-Assessments/Personality-%26-Biopsychosocial/Beck-Depression-Inventory/p/100000159.html"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hyperlink" Target="https://www.pearsonassessments.com/store/usassessments/en/Store/Professional-Assessments/Personality-%26-Biopsychosocial/Beck-Anxiety-Inventory/p/100000251.html"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hyperlink" Target="https://www.psychiatry.org/psychiatrists/practice/dsm/educational-resources/assessment-measures"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hyperlink" Target="https://www.schematherapy.com/id55.htm" TargetMode="External"/></Relationships>
</file>

<file path=xl/worksheets/_rels/sheet32.xml.rels><?xml version="1.0" encoding="UTF-8" standalone="yes"?>
<Relationships xmlns="http://schemas.openxmlformats.org/package/2006/relationships"><Relationship Id="rId8" Type="http://schemas.openxmlformats.org/officeDocument/2006/relationships/table" Target="../tables/table3.xml"/><Relationship Id="rId13" Type="http://schemas.openxmlformats.org/officeDocument/2006/relationships/table" Target="../tables/table8.xml"/><Relationship Id="rId3" Type="http://schemas.openxmlformats.org/officeDocument/2006/relationships/hyperlink" Target="https://www.ptsd.va.gov/professional/assessment/adult-sr/ptsd-checklist.asp" TargetMode="External"/><Relationship Id="rId7" Type="http://schemas.openxmlformats.org/officeDocument/2006/relationships/table" Target="../tables/table2.xml"/><Relationship Id="rId12" Type="http://schemas.openxmlformats.org/officeDocument/2006/relationships/table" Target="../tables/table7.xml"/><Relationship Id="rId2" Type="http://schemas.openxmlformats.org/officeDocument/2006/relationships/hyperlink" Target="http://apps.who.int/iris/bitstream/handle/10665/67205/WHO_MSD_MSB_01.6a.pdf;jsessionid=922FE7F4D3AD4BD43E0026DFE65B3B80?sequence=1" TargetMode="External"/><Relationship Id="rId16" Type="http://schemas.openxmlformats.org/officeDocument/2006/relationships/table" Target="../tables/table11.xml"/><Relationship Id="rId1" Type="http://schemas.openxmlformats.org/officeDocument/2006/relationships/hyperlink" Target="https://www.psychiatry.org/psychiatrists/practice/dsm/educational-resources/assessment-measures" TargetMode="External"/><Relationship Id="rId6" Type="http://schemas.openxmlformats.org/officeDocument/2006/relationships/table" Target="../tables/table1.xml"/><Relationship Id="rId11" Type="http://schemas.openxmlformats.org/officeDocument/2006/relationships/table" Target="../tables/table6.xml"/><Relationship Id="rId5" Type="http://schemas.openxmlformats.org/officeDocument/2006/relationships/drawing" Target="../drawings/drawing60.xml"/><Relationship Id="rId15" Type="http://schemas.openxmlformats.org/officeDocument/2006/relationships/table" Target="../tables/table10.xml"/><Relationship Id="rId10" Type="http://schemas.openxmlformats.org/officeDocument/2006/relationships/table" Target="../tables/table5.xml"/><Relationship Id="rId4" Type="http://schemas.openxmlformats.org/officeDocument/2006/relationships/printerSettings" Target="../printerSettings/printerSettings4.bin"/><Relationship Id="rId9" Type="http://schemas.openxmlformats.org/officeDocument/2006/relationships/table" Target="../tables/table4.xml"/><Relationship Id="rId14"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D189A-4F80-DC4C-A009-072B240AB8E6}">
  <sheetPr>
    <tabColor theme="4"/>
  </sheetPr>
  <dimension ref="A1:AE128"/>
  <sheetViews>
    <sheetView tabSelected="1" workbookViewId="0">
      <selection activeCell="A6" sqref="A6"/>
    </sheetView>
  </sheetViews>
  <sheetFormatPr defaultColWidth="10.875" defaultRowHeight="23.25" x14ac:dyDescent="0.35"/>
  <cols>
    <col min="1" max="1" width="130.875" style="28" customWidth="1"/>
    <col min="2" max="2" width="28.625" style="28" customWidth="1"/>
    <col min="3" max="3" width="35" style="28" customWidth="1"/>
    <col min="4" max="30" width="10.875" style="28"/>
    <col min="31" max="31" width="10.875" style="27"/>
    <col min="32" max="16384" width="10.875" style="28"/>
  </cols>
  <sheetData>
    <row r="1" spans="1:31" s="20" customFormat="1" x14ac:dyDescent="0.35">
      <c r="A1" s="267"/>
      <c r="B1" s="314"/>
      <c r="AE1" s="21"/>
    </row>
    <row r="2" spans="1:31" s="20" customFormat="1" ht="45.75" x14ac:dyDescent="0.35">
      <c r="A2" s="22" t="s">
        <v>1106</v>
      </c>
      <c r="B2" s="317" t="s">
        <v>1657</v>
      </c>
      <c r="C2" s="313"/>
      <c r="AE2" s="21"/>
    </row>
    <row r="3" spans="1:31" s="23" customFormat="1" ht="31.5" x14ac:dyDescent="0.5">
      <c r="A3" s="316" t="s">
        <v>1654</v>
      </c>
      <c r="B3" s="315" t="s">
        <v>851</v>
      </c>
      <c r="AE3" s="24"/>
    </row>
    <row r="4" spans="1:31" ht="24" thickBot="1" x14ac:dyDescent="0.4">
      <c r="A4" s="25"/>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row>
    <row r="5" spans="1:31" s="33" customFormat="1" x14ac:dyDescent="0.3">
      <c r="A5" s="1" t="s">
        <v>1109</v>
      </c>
      <c r="B5" s="29"/>
      <c r="C5" s="30"/>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2"/>
    </row>
    <row r="6" spans="1:31" s="33" customFormat="1" ht="32.25" x14ac:dyDescent="0.3">
      <c r="A6" s="2" t="s">
        <v>1410</v>
      </c>
      <c r="B6" s="34"/>
      <c r="C6" s="35"/>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2"/>
    </row>
    <row r="7" spans="1:31" s="33" customFormat="1" x14ac:dyDescent="0.3">
      <c r="A7" s="3"/>
      <c r="B7" s="34"/>
      <c r="C7" s="35"/>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2"/>
    </row>
    <row r="8" spans="1:31" s="33" customFormat="1" x14ac:dyDescent="0.3">
      <c r="A8" s="4" t="s">
        <v>1597</v>
      </c>
      <c r="B8" s="36"/>
      <c r="C8" s="37"/>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2"/>
    </row>
    <row r="9" spans="1:31" s="33" customFormat="1" ht="31.5" x14ac:dyDescent="0.3">
      <c r="A9" s="3" t="s">
        <v>1596</v>
      </c>
      <c r="B9" s="36"/>
      <c r="C9" s="37"/>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2"/>
    </row>
    <row r="10" spans="1:31" s="33" customFormat="1" x14ac:dyDescent="0.3">
      <c r="A10" s="3"/>
      <c r="B10" s="36"/>
      <c r="C10" s="37"/>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2"/>
    </row>
    <row r="11" spans="1:31" s="33" customFormat="1" x14ac:dyDescent="0.3">
      <c r="A11" s="5" t="s">
        <v>848</v>
      </c>
      <c r="B11" s="34"/>
      <c r="C11" s="35"/>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2"/>
    </row>
    <row r="12" spans="1:31" s="33" customFormat="1" ht="111" x14ac:dyDescent="0.3">
      <c r="A12" s="2" t="s">
        <v>1107</v>
      </c>
      <c r="B12" s="34"/>
      <c r="C12" s="35"/>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2"/>
    </row>
    <row r="13" spans="1:31" s="33" customFormat="1" x14ac:dyDescent="0.3">
      <c r="A13" s="3"/>
      <c r="B13" s="34"/>
      <c r="C13" s="35"/>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2"/>
    </row>
    <row r="14" spans="1:31" s="33" customFormat="1" x14ac:dyDescent="0.3">
      <c r="A14" s="5" t="s">
        <v>1632</v>
      </c>
      <c r="B14" s="34" t="s">
        <v>1101</v>
      </c>
      <c r="C14" s="35" t="s">
        <v>1427</v>
      </c>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2"/>
    </row>
    <row r="15" spans="1:31" s="33" customFormat="1" x14ac:dyDescent="0.3">
      <c r="A15" s="15" t="s">
        <v>1442</v>
      </c>
      <c r="B15" s="34"/>
      <c r="C15" s="38"/>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2"/>
    </row>
    <row r="16" spans="1:31" s="33" customFormat="1" x14ac:dyDescent="0.3">
      <c r="A16" s="16" t="s">
        <v>644</v>
      </c>
      <c r="B16" s="39"/>
      <c r="C16" s="40" t="s">
        <v>768</v>
      </c>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2"/>
    </row>
    <row r="17" spans="1:31" s="33" customFormat="1" x14ac:dyDescent="0.3">
      <c r="A17" s="17" t="s">
        <v>1108</v>
      </c>
      <c r="B17" s="39"/>
      <c r="C17" s="40" t="s">
        <v>1153</v>
      </c>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2"/>
    </row>
    <row r="18" spans="1:31" s="33" customFormat="1" x14ac:dyDescent="0.3">
      <c r="A18" s="16" t="s">
        <v>761</v>
      </c>
      <c r="B18" s="39"/>
      <c r="C18" s="40" t="s">
        <v>769</v>
      </c>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2"/>
    </row>
    <row r="19" spans="1:31" s="33" customFormat="1" x14ac:dyDescent="0.3">
      <c r="A19" s="16" t="s">
        <v>762</v>
      </c>
      <c r="B19" s="39"/>
      <c r="C19" s="40" t="s">
        <v>770</v>
      </c>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2"/>
    </row>
    <row r="20" spans="1:31" s="33" customFormat="1" x14ac:dyDescent="0.3">
      <c r="A20" s="16" t="s">
        <v>763</v>
      </c>
      <c r="B20" s="39"/>
      <c r="C20" s="40" t="s">
        <v>771</v>
      </c>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2"/>
    </row>
    <row r="21" spans="1:31" s="33" customFormat="1" x14ac:dyDescent="0.3">
      <c r="A21" s="17" t="s">
        <v>1397</v>
      </c>
      <c r="B21" s="39"/>
      <c r="C21" s="40" t="s">
        <v>1403</v>
      </c>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2"/>
    </row>
    <row r="22" spans="1:31" s="33" customFormat="1" x14ac:dyDescent="0.3">
      <c r="A22" s="17" t="s">
        <v>1398</v>
      </c>
      <c r="B22" s="39"/>
      <c r="C22" s="40" t="s">
        <v>1403</v>
      </c>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2"/>
    </row>
    <row r="23" spans="1:31" s="33" customFormat="1" x14ac:dyDescent="0.3">
      <c r="A23" s="17" t="s">
        <v>760</v>
      </c>
      <c r="B23" s="39"/>
      <c r="C23" s="40" t="s">
        <v>775</v>
      </c>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2"/>
    </row>
    <row r="24" spans="1:31" s="33" customFormat="1" x14ac:dyDescent="0.3">
      <c r="A24" s="17" t="s">
        <v>1656</v>
      </c>
      <c r="B24" s="39"/>
      <c r="C24" s="40" t="s">
        <v>1404</v>
      </c>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2"/>
    </row>
    <row r="25" spans="1:31" s="33" customFormat="1" x14ac:dyDescent="0.3">
      <c r="A25" s="17" t="s">
        <v>1399</v>
      </c>
      <c r="B25" s="39"/>
      <c r="C25" s="40" t="s">
        <v>1405</v>
      </c>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2"/>
    </row>
    <row r="26" spans="1:31" s="33" customFormat="1" x14ac:dyDescent="0.3">
      <c r="A26" s="17" t="s">
        <v>1400</v>
      </c>
      <c r="B26" s="39"/>
      <c r="C26" s="40" t="s">
        <v>1406</v>
      </c>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2"/>
    </row>
    <row r="27" spans="1:31" s="33" customFormat="1" x14ac:dyDescent="0.3">
      <c r="A27" s="16" t="s">
        <v>764</v>
      </c>
      <c r="B27" s="39"/>
      <c r="C27" s="40" t="s">
        <v>772</v>
      </c>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2"/>
    </row>
    <row r="28" spans="1:31" s="33" customFormat="1" x14ac:dyDescent="0.3">
      <c r="A28" s="15" t="s">
        <v>852</v>
      </c>
      <c r="B28" s="34"/>
      <c r="C28" s="35"/>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2"/>
    </row>
    <row r="29" spans="1:31" s="33" customFormat="1" x14ac:dyDescent="0.3">
      <c r="A29" s="16" t="s">
        <v>128</v>
      </c>
      <c r="B29" s="39"/>
      <c r="C29" s="40" t="s">
        <v>311</v>
      </c>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2"/>
    </row>
    <row r="30" spans="1:31" s="33" customFormat="1" x14ac:dyDescent="0.3">
      <c r="A30" s="17" t="s">
        <v>1176</v>
      </c>
      <c r="B30" s="39"/>
      <c r="C30" s="40" t="s">
        <v>1407</v>
      </c>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2"/>
    </row>
    <row r="31" spans="1:31" s="33" customFormat="1" x14ac:dyDescent="0.3">
      <c r="A31" s="16" t="s">
        <v>129</v>
      </c>
      <c r="B31" s="39"/>
      <c r="C31" s="40" t="s">
        <v>312</v>
      </c>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2"/>
    </row>
    <row r="32" spans="1:31" s="33" customFormat="1" x14ac:dyDescent="0.3">
      <c r="A32" s="16" t="s">
        <v>130</v>
      </c>
      <c r="B32" s="39"/>
      <c r="C32" s="40" t="s">
        <v>313</v>
      </c>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2"/>
    </row>
    <row r="33" spans="1:31" s="33" customFormat="1" x14ac:dyDescent="0.3">
      <c r="A33" s="16" t="s">
        <v>314</v>
      </c>
      <c r="B33" s="39"/>
      <c r="C33" s="40" t="s">
        <v>315</v>
      </c>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2"/>
    </row>
    <row r="34" spans="1:31" s="33" customFormat="1" x14ac:dyDescent="0.3">
      <c r="A34" s="16" t="s">
        <v>131</v>
      </c>
      <c r="B34" s="39"/>
      <c r="C34" s="40" t="s">
        <v>316</v>
      </c>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2"/>
    </row>
    <row r="35" spans="1:31" s="33" customFormat="1" x14ac:dyDescent="0.3">
      <c r="A35" s="16" t="s">
        <v>643</v>
      </c>
      <c r="B35" s="39"/>
      <c r="C35" s="40" t="s">
        <v>767</v>
      </c>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2"/>
    </row>
    <row r="36" spans="1:31" s="33" customFormat="1" x14ac:dyDescent="0.3">
      <c r="A36" s="17" t="s">
        <v>1401</v>
      </c>
      <c r="B36" s="39"/>
      <c r="C36" s="40" t="s">
        <v>1408</v>
      </c>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2"/>
    </row>
    <row r="37" spans="1:31" s="33" customFormat="1" x14ac:dyDescent="0.3">
      <c r="A37" s="17" t="s">
        <v>858</v>
      </c>
      <c r="B37" s="41"/>
      <c r="C37" s="40" t="s">
        <v>1146</v>
      </c>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2"/>
    </row>
    <row r="38" spans="1:31" s="33" customFormat="1" x14ac:dyDescent="0.3">
      <c r="A38" s="15" t="s">
        <v>1443</v>
      </c>
      <c r="B38" s="34"/>
      <c r="C38" s="38"/>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2"/>
    </row>
    <row r="39" spans="1:31" s="33" customFormat="1" x14ac:dyDescent="0.3">
      <c r="A39" s="17" t="s">
        <v>1157</v>
      </c>
      <c r="B39" s="41"/>
      <c r="C39" s="40" t="s">
        <v>1147</v>
      </c>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2"/>
    </row>
    <row r="40" spans="1:31" s="33" customFormat="1" x14ac:dyDescent="0.3">
      <c r="A40" s="17" t="s">
        <v>1155</v>
      </c>
      <c r="B40" s="41"/>
      <c r="C40" s="40" t="s">
        <v>1148</v>
      </c>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2"/>
    </row>
    <row r="41" spans="1:31" s="33" customFormat="1" x14ac:dyDescent="0.3">
      <c r="A41" s="17" t="s">
        <v>1156</v>
      </c>
      <c r="B41" s="41"/>
      <c r="C41" s="40" t="s">
        <v>1149</v>
      </c>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2"/>
    </row>
    <row r="42" spans="1:31" s="33" customFormat="1" x14ac:dyDescent="0.3">
      <c r="A42" s="17" t="s">
        <v>1154</v>
      </c>
      <c r="B42" s="41"/>
      <c r="C42" s="40" t="s">
        <v>1150</v>
      </c>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2"/>
    </row>
    <row r="43" spans="1:31" s="33" customFormat="1" x14ac:dyDescent="0.3">
      <c r="A43" s="15" t="s">
        <v>1444</v>
      </c>
      <c r="B43" s="34"/>
      <c r="C43" s="38"/>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2"/>
    </row>
    <row r="44" spans="1:31" s="33" customFormat="1" x14ac:dyDescent="0.3">
      <c r="A44" s="16" t="s">
        <v>765</v>
      </c>
      <c r="B44" s="39"/>
      <c r="C44" s="40" t="s">
        <v>773</v>
      </c>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2"/>
    </row>
    <row r="45" spans="1:31" s="33" customFormat="1" x14ac:dyDescent="0.3">
      <c r="A45" s="16" t="s">
        <v>766</v>
      </c>
      <c r="B45" s="39"/>
      <c r="C45" s="40" t="s">
        <v>774</v>
      </c>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2"/>
    </row>
    <row r="46" spans="1:31" s="33" customFormat="1" x14ac:dyDescent="0.3">
      <c r="A46" s="17" t="s">
        <v>1402</v>
      </c>
      <c r="B46" s="39"/>
      <c r="C46" s="40" t="s">
        <v>1403</v>
      </c>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2"/>
    </row>
    <row r="47" spans="1:31" s="33" customFormat="1" x14ac:dyDescent="0.25">
      <c r="A47" s="18"/>
      <c r="B47" s="42"/>
      <c r="C47" s="43"/>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2"/>
    </row>
    <row r="48" spans="1:31" s="33" customFormat="1" x14ac:dyDescent="0.3">
      <c r="A48" s="4" t="s">
        <v>119</v>
      </c>
      <c r="B48" s="36"/>
      <c r="C48" s="37"/>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2"/>
    </row>
    <row r="49" spans="1:31" s="33" customFormat="1" ht="60" customHeight="1" x14ac:dyDescent="0.25">
      <c r="A49" s="3" t="s">
        <v>1595</v>
      </c>
      <c r="B49" s="44"/>
      <c r="C49" s="43"/>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2"/>
    </row>
    <row r="50" spans="1:31" s="33" customFormat="1" ht="39.950000000000003" customHeight="1" x14ac:dyDescent="0.25">
      <c r="A50" s="3" t="s">
        <v>1594</v>
      </c>
      <c r="B50" s="44"/>
      <c r="C50" s="43"/>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2"/>
    </row>
    <row r="51" spans="1:31" s="33" customFormat="1" ht="39.950000000000003" customHeight="1" x14ac:dyDescent="0.25">
      <c r="A51" s="3" t="s">
        <v>850</v>
      </c>
      <c r="B51" s="45"/>
      <c r="C51" s="43"/>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2"/>
    </row>
    <row r="52" spans="1:31" s="33" customFormat="1" ht="47.25" x14ac:dyDescent="0.25">
      <c r="A52" s="3" t="s">
        <v>1620</v>
      </c>
      <c r="B52" s="46"/>
      <c r="C52" s="43"/>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2"/>
    </row>
    <row r="53" spans="1:31" s="33" customFormat="1" ht="31.5" x14ac:dyDescent="0.25">
      <c r="A53" s="3" t="s">
        <v>1625</v>
      </c>
      <c r="B53" s="46"/>
      <c r="C53" s="43"/>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2"/>
    </row>
    <row r="54" spans="1:31" s="51" customFormat="1" ht="80.099999999999994" customHeight="1" x14ac:dyDescent="0.25">
      <c r="A54" s="3" t="s">
        <v>777</v>
      </c>
      <c r="B54" s="47"/>
      <c r="C54" s="48"/>
      <c r="D54" s="49"/>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50"/>
    </row>
    <row r="55" spans="1:31" s="33" customFormat="1" x14ac:dyDescent="0.25">
      <c r="A55" s="18"/>
      <c r="B55" s="52"/>
      <c r="C55" s="43"/>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2"/>
    </row>
    <row r="56" spans="1:31" s="33" customFormat="1" x14ac:dyDescent="0.3">
      <c r="A56" s="4" t="s">
        <v>120</v>
      </c>
      <c r="B56" s="36"/>
      <c r="C56" s="37"/>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2"/>
    </row>
    <row r="57" spans="1:31" s="33" customFormat="1" x14ac:dyDescent="0.25">
      <c r="A57" s="6" t="s">
        <v>1621</v>
      </c>
      <c r="B57" s="44"/>
      <c r="C57" s="48"/>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2"/>
    </row>
    <row r="58" spans="1:31" s="33" customFormat="1" ht="150" customHeight="1" x14ac:dyDescent="0.25">
      <c r="A58" s="6" t="s">
        <v>1440</v>
      </c>
      <c r="B58" s="44"/>
      <c r="C58" s="48"/>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2"/>
    </row>
    <row r="59" spans="1:31" s="51" customFormat="1" ht="47.25" x14ac:dyDescent="0.25">
      <c r="A59" s="6" t="s">
        <v>1151</v>
      </c>
      <c r="B59" s="53"/>
      <c r="C59" s="48"/>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50"/>
    </row>
    <row r="60" spans="1:31" s="33" customFormat="1" x14ac:dyDescent="0.25">
      <c r="A60" s="18"/>
      <c r="B60" s="52"/>
      <c r="C60" s="43"/>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2"/>
    </row>
    <row r="61" spans="1:31" s="33" customFormat="1" x14ac:dyDescent="0.3">
      <c r="A61" s="4" t="s">
        <v>121</v>
      </c>
      <c r="B61" s="36"/>
      <c r="C61" s="37"/>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2"/>
    </row>
    <row r="62" spans="1:31" s="33" customFormat="1" x14ac:dyDescent="0.25">
      <c r="A62" s="3" t="s">
        <v>1110</v>
      </c>
      <c r="B62" s="53"/>
      <c r="C62" s="48"/>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2"/>
    </row>
    <row r="63" spans="1:31" s="33" customFormat="1" x14ac:dyDescent="0.25">
      <c r="A63" s="7" t="s">
        <v>1100</v>
      </c>
      <c r="B63" s="54"/>
      <c r="C63" s="55"/>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2"/>
    </row>
    <row r="64" spans="1:31" s="33" customFormat="1" x14ac:dyDescent="0.25">
      <c r="A64" s="7" t="s">
        <v>309</v>
      </c>
      <c r="B64" s="54"/>
      <c r="C64" s="55"/>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2"/>
    </row>
    <row r="65" spans="1:31" s="33" customFormat="1" x14ac:dyDescent="0.25">
      <c r="A65" s="3"/>
      <c r="B65" s="53"/>
      <c r="C65" s="48"/>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2"/>
    </row>
    <row r="66" spans="1:31" s="33" customFormat="1" x14ac:dyDescent="0.25">
      <c r="A66" s="3" t="s">
        <v>1441</v>
      </c>
      <c r="B66" s="53"/>
      <c r="C66" s="48"/>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2"/>
    </row>
    <row r="67" spans="1:31" s="33" customFormat="1" x14ac:dyDescent="0.25">
      <c r="A67" s="3"/>
      <c r="B67" s="53"/>
      <c r="C67" s="48"/>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2"/>
    </row>
    <row r="68" spans="1:31" s="33" customFormat="1" x14ac:dyDescent="0.25">
      <c r="A68" s="3" t="s">
        <v>849</v>
      </c>
      <c r="B68" s="53"/>
      <c r="C68" s="48"/>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2"/>
    </row>
    <row r="69" spans="1:31" s="33" customFormat="1" x14ac:dyDescent="0.25">
      <c r="A69" s="7" t="s">
        <v>1152</v>
      </c>
      <c r="B69" s="54"/>
      <c r="C69" s="55"/>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2"/>
    </row>
    <row r="70" spans="1:31" x14ac:dyDescent="0.35">
      <c r="A70" s="7" t="s">
        <v>1622</v>
      </c>
      <c r="B70" s="54"/>
      <c r="C70" s="55"/>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row>
    <row r="71" spans="1:31" ht="24" thickBot="1" x14ac:dyDescent="0.4">
      <c r="A71" s="19"/>
      <c r="B71" s="56"/>
      <c r="C71" s="57"/>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row>
    <row r="72" spans="1:31" x14ac:dyDescent="0.35">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row>
    <row r="73" spans="1:31" x14ac:dyDescent="0.35">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row>
    <row r="74" spans="1:31" x14ac:dyDescent="0.35">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row>
    <row r="75" spans="1:31" x14ac:dyDescent="0.3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row>
    <row r="76" spans="1:31" x14ac:dyDescent="0.35">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row>
    <row r="77" spans="1:31" x14ac:dyDescent="0.35">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row>
    <row r="78" spans="1:31" x14ac:dyDescent="0.35">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row>
    <row r="79" spans="1:31" x14ac:dyDescent="0.35">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row>
    <row r="80" spans="1:31" x14ac:dyDescent="0.35">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row>
    <row r="81" spans="1:30" x14ac:dyDescent="0.35">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row>
    <row r="82" spans="1:30" x14ac:dyDescent="0.35">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row>
    <row r="83" spans="1:30" x14ac:dyDescent="0.35">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row>
    <row r="84" spans="1:30" x14ac:dyDescent="0.35">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row>
    <row r="85" spans="1:30" x14ac:dyDescent="0.3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row>
    <row r="86" spans="1:30" x14ac:dyDescent="0.35">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row>
    <row r="87" spans="1:30" x14ac:dyDescent="0.35">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row>
    <row r="88" spans="1:30" x14ac:dyDescent="0.35">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row>
    <row r="89" spans="1:30" x14ac:dyDescent="0.35">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row>
    <row r="90" spans="1:30" x14ac:dyDescent="0.35">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row>
    <row r="91" spans="1:30" x14ac:dyDescent="0.35">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row>
    <row r="92" spans="1:30" x14ac:dyDescent="0.35">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row>
    <row r="93" spans="1:30" x14ac:dyDescent="0.35">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row>
    <row r="94" spans="1:30" x14ac:dyDescent="0.35">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row>
    <row r="95" spans="1:30" x14ac:dyDescent="0.3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row>
    <row r="96" spans="1:30" x14ac:dyDescent="0.35">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row>
    <row r="97" spans="1:30" x14ac:dyDescent="0.35">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row>
    <row r="98" spans="1:30" x14ac:dyDescent="0.35">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row>
    <row r="99" spans="1:30" x14ac:dyDescent="0.35">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row>
    <row r="100" spans="1:30" x14ac:dyDescent="0.35">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row>
    <row r="101" spans="1:30" x14ac:dyDescent="0.35">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row>
    <row r="102" spans="1:30" x14ac:dyDescent="0.35">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row>
    <row r="103" spans="1:30" x14ac:dyDescent="0.35">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row>
    <row r="104" spans="1:30" x14ac:dyDescent="0.35">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row>
    <row r="105" spans="1:30" x14ac:dyDescent="0.3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row>
    <row r="106" spans="1:30" x14ac:dyDescent="0.35">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row>
    <row r="107" spans="1:30" x14ac:dyDescent="0.35">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row>
    <row r="108" spans="1:30" x14ac:dyDescent="0.35">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row>
    <row r="109" spans="1:30" x14ac:dyDescent="0.35">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row>
    <row r="110" spans="1:30" x14ac:dyDescent="0.35">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row>
    <row r="111" spans="1:30" x14ac:dyDescent="0.35">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row>
    <row r="112" spans="1:30" x14ac:dyDescent="0.35">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row>
    <row r="113" spans="1:30" x14ac:dyDescent="0.35">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row>
    <row r="114" spans="1:30" x14ac:dyDescent="0.35">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row>
    <row r="115" spans="1:30" x14ac:dyDescent="0.3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row>
    <row r="116" spans="1:30" x14ac:dyDescent="0.35">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row>
    <row r="117" spans="1:30" x14ac:dyDescent="0.35">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row>
    <row r="118" spans="1:30" x14ac:dyDescent="0.35">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row>
    <row r="119" spans="1:30" x14ac:dyDescent="0.35">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row>
    <row r="120" spans="1:30" x14ac:dyDescent="0.35">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row>
    <row r="121" spans="1:30" x14ac:dyDescent="0.35">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row>
    <row r="122" spans="1:30" x14ac:dyDescent="0.35">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row>
    <row r="123" spans="1:30" x14ac:dyDescent="0.35">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row>
    <row r="124" spans="1:30" x14ac:dyDescent="0.35">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row>
    <row r="125" spans="1:30" x14ac:dyDescent="0.3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row>
    <row r="126" spans="1:30" x14ac:dyDescent="0.35">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row>
    <row r="127" spans="1:30" x14ac:dyDescent="0.35">
      <c r="A127" s="26"/>
      <c r="B127" s="26"/>
      <c r="C127" s="26"/>
    </row>
    <row r="128" spans="1:30" x14ac:dyDescent="0.35">
      <c r="C128" s="26"/>
    </row>
  </sheetData>
  <sheetProtection algorithmName="SHA-512" hashValue="a/MwmBnHV8QoCZ1rhXbwQXHV7QiKVIcMjF6FoPFkkoCVdj8C38tLAsGMDFQftS292UB72P0+bHHUMZDyL43VHw==" saltValue="Ght0ooe25a8dHG5G8VMbdQ==" spinCount="100000" sheet="1" objects="1" scenarios="1"/>
  <hyperlinks>
    <hyperlink ref="C29" r:id="rId1" xr:uid="{48972978-500C-8440-99E1-066C892ADD70}"/>
    <hyperlink ref="C32" r:id="rId2" xr:uid="{25C97208-AAA7-6B4E-AA7D-E23E31D0D1EE}"/>
    <hyperlink ref="C31" r:id="rId3" xr:uid="{C8EA24FA-3A4E-0443-8A62-FC0D760F7D6F}"/>
    <hyperlink ref="C33" r:id="rId4" xr:uid="{5AB249B2-9B14-094D-BBF2-D2CEB16EE10F}"/>
    <hyperlink ref="C34" r:id="rId5" xr:uid="{9AED91E4-2F22-6F4A-926A-F30ADAE205D3}"/>
    <hyperlink ref="C45" r:id="rId6" xr:uid="{48D268EC-0C93-482D-8723-4B0B5EB3DE86}"/>
    <hyperlink ref="C44" r:id="rId7" xr:uid="{FE5CAA25-6499-4C2E-A8B9-207E66C7B99E}"/>
    <hyperlink ref="C35" r:id="rId8" xr:uid="{A18111A3-4E74-43C9-8EF5-629C39614D62}"/>
    <hyperlink ref="B3" r:id="rId9" xr:uid="{93DBC14E-74B8-B04D-B5FD-A839DFCD9859}"/>
    <hyperlink ref="C37" r:id="rId10" xr:uid="{0C4E60CE-A37D-4D62-BF81-FB1E96BF0065}"/>
    <hyperlink ref="C39" r:id="rId11" xr:uid="{6CCF2548-5BC8-4E92-BA71-DD20267529B8}"/>
    <hyperlink ref="C40" r:id="rId12" xr:uid="{47EA583E-7839-4CEE-B6E5-AE1FE2F7844F}"/>
    <hyperlink ref="C41" r:id="rId13" xr:uid="{F6A82876-57F9-484C-A744-DB702C249044}"/>
    <hyperlink ref="C42" r:id="rId14" xr:uid="{E043D1EA-36A9-4F49-B5ED-358973898E63}"/>
    <hyperlink ref="C23" r:id="rId15" xr:uid="{321563C5-4DBB-6246-9D52-9AD6FAAD507C}"/>
    <hyperlink ref="C16" r:id="rId16" xr:uid="{A5F4E520-DDD2-CC4B-912E-EEABE6DD9DCA}"/>
    <hyperlink ref="C18" r:id="rId17" xr:uid="{F74E9597-F3C0-304D-B584-51920BED802A}"/>
    <hyperlink ref="C19" r:id="rId18" xr:uid="{9DF33796-F146-A741-A80D-9DC8A25154C7}"/>
    <hyperlink ref="C20" r:id="rId19" xr:uid="{6BD29103-7CFB-9F45-9509-F47D7F89889B}"/>
    <hyperlink ref="C27" r:id="rId20" xr:uid="{6F36F53D-6E29-FF48-B6C7-E8BCE7877971}"/>
    <hyperlink ref="C17" r:id="rId21" xr:uid="{2B23306F-B59B-1E4B-A557-55F6266EA2D6}"/>
    <hyperlink ref="C46" r:id="rId22" xr:uid="{BD188A8B-A9AE-40D4-AA3D-D3490EFC3018}"/>
    <hyperlink ref="C25" r:id="rId23" xr:uid="{0452271B-911E-4703-85F2-09F11593F2F5}"/>
    <hyperlink ref="C26" r:id="rId24" xr:uid="{BC74CEAE-373B-4BE2-A5B3-381C14128728}"/>
    <hyperlink ref="C36" r:id="rId25" xr:uid="{92FE4CA0-992D-4883-B1FE-41A0DDEF81FA}"/>
    <hyperlink ref="C24" r:id="rId26" xr:uid="{0B0998E7-E5D9-4D7B-97CA-9376B57B424A}"/>
    <hyperlink ref="C21" r:id="rId27" xr:uid="{152C1546-7B28-4D7E-BD9F-406A72536812}"/>
    <hyperlink ref="C22" r:id="rId28" xr:uid="{9E04A7CE-0456-4E5F-A310-1A25F0034521}"/>
    <hyperlink ref="A63" r:id="rId29" xr:uid="{E9FED162-B7C1-054B-8412-5F5C6E216AB3}"/>
    <hyperlink ref="A64" r:id="rId30" xr:uid="{1911B819-C730-074A-81E5-BDE83A2E5702}"/>
    <hyperlink ref="A69" r:id="rId31" xr:uid="{4162A4E8-2CFB-744E-B037-9D88ED260559}"/>
    <hyperlink ref="A70" r:id="rId32" xr:uid="{B85EE157-3299-DE48-9512-DFC3195A9E63}"/>
  </hyperlinks>
  <pageMargins left="0.7" right="0.7" top="0.75" bottom="0.75" header="0.3" footer="0.3"/>
  <pageSetup paperSize="9" orientation="portrait" horizontalDpi="4294967293" verticalDpi="0" r:id="rId33"/>
  <drawing r:id="rId3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F1D28-C557-1D4C-B889-4339CA017941}">
  <sheetPr>
    <tabColor theme="4"/>
  </sheetPr>
  <dimension ref="A1:AE17"/>
  <sheetViews>
    <sheetView workbookViewId="0">
      <selection activeCell="B6" sqref="B6"/>
    </sheetView>
  </sheetViews>
  <sheetFormatPr defaultColWidth="10.875" defaultRowHeight="19.5" x14ac:dyDescent="0.3"/>
  <cols>
    <col min="1" max="1" width="33.375" style="28" customWidth="1"/>
    <col min="2" max="2" width="40.875" style="28" customWidth="1"/>
    <col min="3"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60" t="s">
        <v>307</v>
      </c>
      <c r="AE3" s="61"/>
    </row>
    <row r="4" spans="1:31" s="33" customFormat="1" ht="20.25" thickBot="1" x14ac:dyDescent="0.3">
      <c r="AE4" s="62"/>
    </row>
    <row r="5" spans="1:31" s="51" customFormat="1" x14ac:dyDescent="0.25">
      <c r="A5" s="63" t="s">
        <v>307</v>
      </c>
      <c r="B5" s="64" t="s">
        <v>308</v>
      </c>
      <c r="AE5" s="65"/>
    </row>
    <row r="6" spans="1:31" s="51" customFormat="1" x14ac:dyDescent="0.25">
      <c r="A6" s="8" t="s">
        <v>808</v>
      </c>
      <c r="B6" s="318"/>
      <c r="AE6" s="65"/>
    </row>
    <row r="7" spans="1:31" s="51" customFormat="1" x14ac:dyDescent="0.25">
      <c r="A7" s="9" t="s">
        <v>809</v>
      </c>
      <c r="B7" s="319"/>
      <c r="AE7" s="65"/>
    </row>
    <row r="8" spans="1:31" s="51" customFormat="1" x14ac:dyDescent="0.25">
      <c r="A8" s="8" t="s">
        <v>810</v>
      </c>
      <c r="B8" s="318"/>
      <c r="AE8" s="65"/>
    </row>
    <row r="9" spans="1:31" s="33" customFormat="1" x14ac:dyDescent="0.25">
      <c r="A9" s="9" t="s">
        <v>811</v>
      </c>
      <c r="B9" s="320"/>
      <c r="AE9" s="62"/>
    </row>
    <row r="10" spans="1:31" s="33" customFormat="1" x14ac:dyDescent="0.25">
      <c r="A10" s="8" t="s">
        <v>812</v>
      </c>
      <c r="B10" s="321"/>
      <c r="AE10" s="62"/>
    </row>
    <row r="11" spans="1:31" s="33" customFormat="1" x14ac:dyDescent="0.25">
      <c r="A11" s="9" t="s">
        <v>813</v>
      </c>
      <c r="B11" s="322"/>
      <c r="AE11" s="62"/>
    </row>
    <row r="12" spans="1:31" x14ac:dyDescent="0.3">
      <c r="A12" s="8" t="s">
        <v>814</v>
      </c>
      <c r="B12" s="323" t="str">
        <f>IF(B10="","",((B11-B10)/365))</f>
        <v/>
      </c>
    </row>
    <row r="13" spans="1:31" x14ac:dyDescent="0.3">
      <c r="A13" s="9" t="s">
        <v>815</v>
      </c>
      <c r="B13" s="320"/>
    </row>
    <row r="14" spans="1:31" x14ac:dyDescent="0.3">
      <c r="A14" s="10" t="s">
        <v>816</v>
      </c>
      <c r="B14" s="324"/>
    </row>
    <row r="15" spans="1:31" x14ac:dyDescent="0.3">
      <c r="A15" s="11" t="s">
        <v>817</v>
      </c>
      <c r="B15" s="325"/>
    </row>
    <row r="16" spans="1:31" ht="96" customHeight="1" thickBot="1" x14ac:dyDescent="0.35">
      <c r="A16" s="12" t="s">
        <v>1111</v>
      </c>
      <c r="B16" s="326"/>
    </row>
    <row r="17" spans="1:2" x14ac:dyDescent="0.3">
      <c r="A17" s="67"/>
      <c r="B17" s="68"/>
    </row>
  </sheetData>
  <sheetProtection algorithmName="SHA-512" hashValue="mj3WiWtEisven2F8z7CEADjapO84RGejM9T0ayOFWiC98Bn8hnpbFpwPFzRW571Qi5HfFaOLxq6n9WHhJo48EQ==" saltValue="eah0TOph6rgkvaG62u0YWg==" spinCount="100000" sheet="1" objects="1" scenarios="1"/>
  <dataValidations count="3">
    <dataValidation type="date" allowBlank="1" showInputMessage="1" showErrorMessage="1" sqref="B10:B11" xr:uid="{CBBC350D-BCB8-6547-B2B9-3CEA82ECD5EA}">
      <formula1>1</formula1>
      <formula2>TODAY()</formula2>
    </dataValidation>
    <dataValidation type="list" allowBlank="1" showInputMessage="1" showErrorMessage="1" sqref="B13" xr:uid="{65486BCE-C968-4147-BBE4-3392EAD72F29}">
      <formula1>"None, Primary school, Some high school, High school, Some college, College undergraduate degree, College postgraduate degree "</formula1>
    </dataValidation>
    <dataValidation type="list" allowBlank="1" showInputMessage="1" showErrorMessage="1" sqref="B14" xr:uid="{C00DBC96-37C3-2C40-BE88-BD309805482B}">
      <formula1>"Unemployed, Part-time, Full-time, Retired"</formula1>
    </dataValidation>
  </dataValidations>
  <pageMargins left="0.7" right="0.7" top="0.75" bottom="0.75" header="0.3" footer="0.3"/>
  <pageSetup paperSize="9"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6BFAB-ADF8-624C-9651-24D0DDD67D29}">
  <sheetPr>
    <tabColor theme="4"/>
  </sheetPr>
  <dimension ref="A1:AE507"/>
  <sheetViews>
    <sheetView zoomScaleNormal="100" workbookViewId="0">
      <selection activeCell="A6" sqref="A6:P6"/>
    </sheetView>
  </sheetViews>
  <sheetFormatPr defaultColWidth="10.875" defaultRowHeight="19.5" x14ac:dyDescent="0.3"/>
  <cols>
    <col min="1" max="1" width="33.5" style="28" customWidth="1"/>
    <col min="2" max="4" width="10.875" style="28" customWidth="1"/>
    <col min="5" max="5" width="33.5" style="28" customWidth="1"/>
    <col min="6" max="14" width="10.875" style="28"/>
    <col min="15" max="16" width="10.875" style="28" customWidth="1"/>
    <col min="17" max="18" width="10.875" style="28"/>
    <col min="19" max="19" width="75.875" style="28" customWidth="1"/>
    <col min="20"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60" t="s">
        <v>127</v>
      </c>
      <c r="B3" s="69"/>
      <c r="AE3" s="61"/>
    </row>
    <row r="4" spans="1:31" ht="20.25" thickBot="1" x14ac:dyDescent="0.35"/>
    <row r="5" spans="1:31" s="33" customFormat="1" x14ac:dyDescent="0.3">
      <c r="A5" s="333" t="s">
        <v>250</v>
      </c>
      <c r="B5" s="334"/>
      <c r="C5" s="334"/>
      <c r="D5" s="334"/>
      <c r="E5" s="334"/>
      <c r="F5" s="13"/>
      <c r="G5" s="13"/>
      <c r="H5" s="13"/>
      <c r="I5" s="13"/>
      <c r="J5" s="13"/>
      <c r="K5" s="13"/>
      <c r="L5" s="13"/>
      <c r="M5" s="13"/>
      <c r="N5" s="13"/>
      <c r="O5" s="13"/>
      <c r="P5" s="14"/>
      <c r="S5" s="28"/>
      <c r="T5" s="28"/>
      <c r="U5" s="28"/>
      <c r="V5" s="28"/>
      <c r="W5" s="28"/>
      <c r="AE5" s="62"/>
    </row>
    <row r="6" spans="1:31" s="33" customFormat="1" ht="39.950000000000003" customHeight="1" x14ac:dyDescent="0.25">
      <c r="A6" s="327" t="s">
        <v>1623</v>
      </c>
      <c r="B6" s="328"/>
      <c r="C6" s="328"/>
      <c r="D6" s="328"/>
      <c r="E6" s="328"/>
      <c r="F6" s="328"/>
      <c r="G6" s="328"/>
      <c r="H6" s="328"/>
      <c r="I6" s="328"/>
      <c r="J6" s="328"/>
      <c r="K6" s="328"/>
      <c r="L6" s="328"/>
      <c r="M6" s="328"/>
      <c r="N6" s="328"/>
      <c r="O6" s="328"/>
      <c r="P6" s="329"/>
      <c r="S6" s="28"/>
      <c r="T6" s="28"/>
      <c r="U6" s="28"/>
      <c r="V6" s="28"/>
      <c r="W6" s="28"/>
      <c r="AE6" s="62"/>
    </row>
    <row r="7" spans="1:31" s="33" customFormat="1" ht="20.100000000000001" customHeight="1" x14ac:dyDescent="0.25">
      <c r="A7" s="327" t="s">
        <v>1624</v>
      </c>
      <c r="B7" s="328"/>
      <c r="C7" s="328"/>
      <c r="D7" s="328"/>
      <c r="E7" s="328"/>
      <c r="F7" s="328"/>
      <c r="G7" s="328"/>
      <c r="H7" s="328"/>
      <c r="I7" s="328"/>
      <c r="J7" s="328"/>
      <c r="K7" s="328"/>
      <c r="L7" s="328"/>
      <c r="M7" s="328"/>
      <c r="N7" s="328"/>
      <c r="O7" s="328"/>
      <c r="P7" s="329"/>
      <c r="S7" s="28"/>
      <c r="T7" s="28"/>
      <c r="U7" s="28"/>
      <c r="V7" s="28"/>
      <c r="W7" s="28"/>
      <c r="AE7" s="62"/>
    </row>
    <row r="8" spans="1:31" s="70" customFormat="1" ht="39.950000000000003" customHeight="1" thickBot="1" x14ac:dyDescent="0.3">
      <c r="A8" s="330" t="s">
        <v>1626</v>
      </c>
      <c r="B8" s="331"/>
      <c r="C8" s="331"/>
      <c r="D8" s="331"/>
      <c r="E8" s="331"/>
      <c r="F8" s="331"/>
      <c r="G8" s="331"/>
      <c r="H8" s="331"/>
      <c r="I8" s="331"/>
      <c r="J8" s="331"/>
      <c r="K8" s="331"/>
      <c r="L8" s="331"/>
      <c r="M8" s="331"/>
      <c r="N8" s="331"/>
      <c r="O8" s="331"/>
      <c r="P8" s="332"/>
      <c r="AE8" s="71"/>
    </row>
    <row r="9" spans="1:31" ht="21" customHeight="1" thickBot="1" x14ac:dyDescent="0.35"/>
    <row r="10" spans="1:31" ht="21" x14ac:dyDescent="0.35">
      <c r="A10" s="72" t="s">
        <v>1445</v>
      </c>
      <c r="B10" s="73"/>
      <c r="C10" s="73"/>
      <c r="D10" s="73"/>
      <c r="E10" s="73"/>
      <c r="F10" s="73"/>
      <c r="G10" s="73"/>
      <c r="H10" s="73"/>
      <c r="I10" s="73"/>
      <c r="J10" s="73"/>
      <c r="K10" s="73"/>
      <c r="L10" s="73"/>
      <c r="M10" s="73"/>
      <c r="N10" s="73"/>
      <c r="O10" s="73"/>
      <c r="P10" s="73"/>
      <c r="S10" s="74" t="s">
        <v>856</v>
      </c>
      <c r="T10" s="29"/>
      <c r="U10" s="75"/>
    </row>
    <row r="11" spans="1:31" x14ac:dyDescent="0.3">
      <c r="S11" s="76" t="s">
        <v>1445</v>
      </c>
      <c r="T11" s="77"/>
      <c r="U11" s="78"/>
    </row>
    <row r="12" spans="1:31" x14ac:dyDescent="0.3">
      <c r="A12" s="79" t="s">
        <v>363</v>
      </c>
      <c r="B12" s="80"/>
      <c r="C12" s="81"/>
      <c r="D12" s="81"/>
      <c r="E12" s="82" t="s">
        <v>416</v>
      </c>
      <c r="S12" s="83" t="s">
        <v>363</v>
      </c>
      <c r="T12" s="84"/>
      <c r="U12" s="78"/>
    </row>
    <row r="13" spans="1:31" x14ac:dyDescent="0.3">
      <c r="A13" s="85" t="s">
        <v>133</v>
      </c>
      <c r="B13" s="73"/>
      <c r="C13" s="86" t="s">
        <v>134</v>
      </c>
      <c r="D13" s="87" t="s">
        <v>135</v>
      </c>
      <c r="E13" s="87" t="s">
        <v>317</v>
      </c>
      <c r="S13" s="83" t="s">
        <v>906</v>
      </c>
      <c r="T13" s="84"/>
      <c r="U13" s="78"/>
    </row>
    <row r="14" spans="1:31" x14ac:dyDescent="0.3">
      <c r="A14" s="88" t="s">
        <v>367</v>
      </c>
      <c r="C14" s="89" t="str">
        <f t="shared" ref="C14:E16" ca="1" si="0">IF(NOT(COUNTA(INDIRECT("'"&amp;$E$12&amp;"'!"&amp;"G10:G45"))),"",VLOOKUP($A14,INDIRECT("'"&amp;$E$12&amp;"'!"&amp;"F9:I45"),MATCH(C$13,INDIRECT("'"&amp;$E$12&amp;"'!"&amp;"F10:I10"),0), FALSE))</f>
        <v/>
      </c>
      <c r="D14" s="90" t="str">
        <f t="shared" ca="1" si="0"/>
        <v>NA</v>
      </c>
      <c r="E14" s="91" t="str">
        <f t="shared" ca="1" si="0"/>
        <v/>
      </c>
      <c r="S14" s="83" t="s">
        <v>664</v>
      </c>
      <c r="T14" s="84"/>
      <c r="U14" s="78"/>
    </row>
    <row r="15" spans="1:31" x14ac:dyDescent="0.3">
      <c r="A15" s="88" t="s">
        <v>368</v>
      </c>
      <c r="C15" s="92" t="str">
        <f t="shared" ca="1" si="0"/>
        <v/>
      </c>
      <c r="D15" s="90" t="str">
        <f t="shared" ca="1" si="0"/>
        <v>NA</v>
      </c>
      <c r="E15" s="91" t="str">
        <f t="shared" ca="1" si="0"/>
        <v/>
      </c>
      <c r="S15" s="83" t="s">
        <v>710</v>
      </c>
      <c r="T15" s="84"/>
      <c r="U15" s="78"/>
    </row>
    <row r="16" spans="1:31" x14ac:dyDescent="0.3">
      <c r="A16" s="88" t="s">
        <v>369</v>
      </c>
      <c r="C16" s="93" t="str">
        <f t="shared" ca="1" si="0"/>
        <v/>
      </c>
      <c r="D16" s="90" t="str">
        <f t="shared" ca="1" si="0"/>
        <v>NA</v>
      </c>
      <c r="E16" s="91" t="str">
        <f t="shared" ca="1" si="0"/>
        <v/>
      </c>
      <c r="S16" s="83" t="s">
        <v>678</v>
      </c>
      <c r="T16" s="84"/>
      <c r="U16" s="78"/>
    </row>
    <row r="17" spans="1:21" x14ac:dyDescent="0.3">
      <c r="A17" s="338" t="s">
        <v>366</v>
      </c>
      <c r="B17" s="338"/>
      <c r="C17" s="338"/>
      <c r="D17" s="338"/>
      <c r="E17" s="338"/>
      <c r="S17" s="83" t="s">
        <v>1327</v>
      </c>
      <c r="T17" s="94"/>
      <c r="U17" s="78"/>
    </row>
    <row r="18" spans="1:21" x14ac:dyDescent="0.3">
      <c r="S18" s="83" t="s">
        <v>1326</v>
      </c>
      <c r="T18" s="84"/>
      <c r="U18" s="78"/>
    </row>
    <row r="19" spans="1:21" x14ac:dyDescent="0.3">
      <c r="S19" s="83" t="s">
        <v>847</v>
      </c>
      <c r="T19" s="94"/>
      <c r="U19" s="78"/>
    </row>
    <row r="20" spans="1:21" x14ac:dyDescent="0.3">
      <c r="S20" s="83" t="s">
        <v>1181</v>
      </c>
      <c r="T20" s="84"/>
      <c r="U20" s="78"/>
    </row>
    <row r="21" spans="1:21" x14ac:dyDescent="0.3">
      <c r="S21" s="83" t="s">
        <v>1178</v>
      </c>
      <c r="T21" s="84"/>
      <c r="U21" s="78"/>
    </row>
    <row r="22" spans="1:21" x14ac:dyDescent="0.3">
      <c r="S22" s="83" t="s">
        <v>1180</v>
      </c>
      <c r="T22" s="84"/>
      <c r="U22" s="78"/>
    </row>
    <row r="23" spans="1:21" x14ac:dyDescent="0.3">
      <c r="S23" s="83" t="s">
        <v>742</v>
      </c>
      <c r="T23" s="84"/>
      <c r="U23" s="78"/>
    </row>
    <row r="24" spans="1:21" x14ac:dyDescent="0.3">
      <c r="S24" s="76" t="s">
        <v>1112</v>
      </c>
      <c r="T24" s="77"/>
      <c r="U24" s="78"/>
    </row>
    <row r="25" spans="1:21" x14ac:dyDescent="0.3">
      <c r="S25" s="83" t="s">
        <v>0</v>
      </c>
      <c r="T25" s="84"/>
      <c r="U25" s="78"/>
    </row>
    <row r="26" spans="1:21" x14ac:dyDescent="0.3">
      <c r="S26" s="83" t="s">
        <v>1171</v>
      </c>
      <c r="T26" s="84"/>
      <c r="U26" s="78"/>
    </row>
    <row r="27" spans="1:21" x14ac:dyDescent="0.3">
      <c r="S27" s="83" t="s">
        <v>27</v>
      </c>
      <c r="T27" s="84"/>
      <c r="U27" s="78"/>
    </row>
    <row r="28" spans="1:21" x14ac:dyDescent="0.3">
      <c r="A28" s="79" t="s">
        <v>906</v>
      </c>
      <c r="B28" s="80"/>
      <c r="C28" s="81"/>
      <c r="D28" s="81"/>
      <c r="E28" s="82" t="s">
        <v>931</v>
      </c>
      <c r="S28" s="83" t="s">
        <v>28</v>
      </c>
      <c r="T28" s="84"/>
      <c r="U28" s="78"/>
    </row>
    <row r="29" spans="1:21" x14ac:dyDescent="0.3">
      <c r="A29" s="85" t="s">
        <v>133</v>
      </c>
      <c r="B29" s="73"/>
      <c r="C29" s="86" t="s">
        <v>134</v>
      </c>
      <c r="D29" s="87" t="s">
        <v>135</v>
      </c>
      <c r="E29" s="87" t="s">
        <v>317</v>
      </c>
      <c r="S29" s="83" t="s">
        <v>853</v>
      </c>
      <c r="T29" s="84"/>
      <c r="U29" s="78"/>
    </row>
    <row r="30" spans="1:21" x14ac:dyDescent="0.3">
      <c r="A30" s="88" t="s">
        <v>367</v>
      </c>
      <c r="C30" s="89" t="str">
        <f t="shared" ref="C30:E32" ca="1" si="1">IF(NOT(COUNTA(INDIRECT("'"&amp;$E$28&amp;"'!"&amp;"G10:G45"))),"",VLOOKUP($A30,INDIRECT("'"&amp;$E$28&amp;"'!"&amp;"F9:I45"),MATCH(C$29,INDIRECT("'"&amp;$E$28&amp;"'!"&amp;"F10:I10"),0), FALSE))</f>
        <v/>
      </c>
      <c r="D30" s="90" t="str">
        <f t="shared" ca="1" si="1"/>
        <v>NA</v>
      </c>
      <c r="E30" s="95" t="str">
        <f t="shared" ca="1" si="1"/>
        <v/>
      </c>
      <c r="S30" s="83" t="s">
        <v>29</v>
      </c>
      <c r="T30" s="84"/>
      <c r="U30" s="78"/>
    </row>
    <row r="31" spans="1:21" x14ac:dyDescent="0.3">
      <c r="A31" s="88" t="s">
        <v>368</v>
      </c>
      <c r="C31" s="92" t="str">
        <f t="shared" ca="1" si="1"/>
        <v/>
      </c>
      <c r="D31" s="90" t="str">
        <f t="shared" ca="1" si="1"/>
        <v>NA</v>
      </c>
      <c r="E31" s="95" t="str">
        <f t="shared" ca="1" si="1"/>
        <v/>
      </c>
      <c r="S31" s="83" t="s">
        <v>318</v>
      </c>
      <c r="T31" s="84"/>
      <c r="U31" s="78"/>
    </row>
    <row r="32" spans="1:21" x14ac:dyDescent="0.3">
      <c r="A32" s="88" t="s">
        <v>369</v>
      </c>
      <c r="C32" s="93" t="str">
        <f t="shared" ca="1" si="1"/>
        <v/>
      </c>
      <c r="D32" s="90" t="str">
        <f t="shared" ca="1" si="1"/>
        <v>NA</v>
      </c>
      <c r="E32" s="95" t="str">
        <f t="shared" ca="1" si="1"/>
        <v/>
      </c>
      <c r="S32" s="83" t="s">
        <v>1182</v>
      </c>
      <c r="T32" s="84"/>
      <c r="U32" s="78"/>
    </row>
    <row r="33" spans="1:21" x14ac:dyDescent="0.3">
      <c r="A33" s="335" t="s">
        <v>366</v>
      </c>
      <c r="B33" s="335"/>
      <c r="C33" s="335"/>
      <c r="D33" s="335"/>
      <c r="E33" s="335"/>
      <c r="S33" s="83" t="s">
        <v>859</v>
      </c>
      <c r="T33" s="84"/>
      <c r="U33" s="78"/>
    </row>
    <row r="34" spans="1:21" x14ac:dyDescent="0.3">
      <c r="S34" s="76" t="s">
        <v>1446</v>
      </c>
      <c r="T34" s="77"/>
      <c r="U34" s="78"/>
    </row>
    <row r="35" spans="1:21" x14ac:dyDescent="0.3">
      <c r="S35" s="83" t="s">
        <v>945</v>
      </c>
      <c r="T35" s="84"/>
      <c r="U35" s="78"/>
    </row>
    <row r="36" spans="1:21" x14ac:dyDescent="0.3">
      <c r="S36" s="83" t="s">
        <v>1122</v>
      </c>
      <c r="T36" s="84"/>
      <c r="U36" s="78"/>
    </row>
    <row r="37" spans="1:21" x14ac:dyDescent="0.3">
      <c r="S37" s="83" t="s">
        <v>1123</v>
      </c>
      <c r="T37" s="84"/>
      <c r="U37" s="78"/>
    </row>
    <row r="38" spans="1:21" x14ac:dyDescent="0.3">
      <c r="S38" s="83" t="s">
        <v>946</v>
      </c>
      <c r="T38" s="84"/>
      <c r="U38" s="78"/>
    </row>
    <row r="39" spans="1:21" x14ac:dyDescent="0.3">
      <c r="S39" s="76" t="s">
        <v>1447</v>
      </c>
      <c r="T39" s="77"/>
      <c r="U39" s="78"/>
    </row>
    <row r="40" spans="1:21" x14ac:dyDescent="0.3">
      <c r="S40" s="83" t="s">
        <v>855</v>
      </c>
      <c r="T40" s="84"/>
      <c r="U40" s="78"/>
    </row>
    <row r="41" spans="1:21" x14ac:dyDescent="0.3">
      <c r="S41" s="83" t="s">
        <v>713</v>
      </c>
      <c r="T41" s="84"/>
      <c r="U41" s="78"/>
    </row>
    <row r="42" spans="1:21" x14ac:dyDescent="0.3">
      <c r="S42" s="96" t="s">
        <v>1340</v>
      </c>
      <c r="T42" s="84"/>
      <c r="U42" s="78"/>
    </row>
    <row r="43" spans="1:21" ht="20.25" thickBot="1" x14ac:dyDescent="0.35">
      <c r="S43" s="97"/>
      <c r="T43" s="98"/>
      <c r="U43" s="99"/>
    </row>
    <row r="45" spans="1:21" x14ac:dyDescent="0.3">
      <c r="A45" s="79" t="s">
        <v>664</v>
      </c>
      <c r="B45" s="80"/>
      <c r="C45" s="81"/>
      <c r="D45" s="81"/>
      <c r="E45" s="82" t="s">
        <v>677</v>
      </c>
    </row>
    <row r="46" spans="1:21" x14ac:dyDescent="0.3">
      <c r="A46" s="85" t="s">
        <v>138</v>
      </c>
      <c r="B46" s="73"/>
      <c r="C46" s="86" t="s">
        <v>134</v>
      </c>
      <c r="D46" s="87" t="s">
        <v>135</v>
      </c>
      <c r="E46" s="87" t="s">
        <v>317</v>
      </c>
    </row>
    <row r="47" spans="1:21" x14ac:dyDescent="0.3">
      <c r="A47" s="95" t="s">
        <v>279</v>
      </c>
      <c r="C47" s="100" t="str">
        <f ca="1">IF(NOT(COUNTA(INDIRECT("'"&amp;$E$45&amp;"'!"&amp;"G10:G45"))),"",VLOOKUP($A47,INDIRECT("'"&amp;$E$45&amp;"'!"&amp;"F9:I45"),MATCH(C$46,INDIRECT("'"&amp;$E$45&amp;"'!"&amp;"F10:I10"),0), FALSE))</f>
        <v/>
      </c>
      <c r="D47" s="90" t="str">
        <f ca="1">IF(NOT(COUNTA(INDIRECT("'"&amp;$E$45&amp;"'!"&amp;"G10:G45"))),"",VLOOKUP($A47,INDIRECT("'"&amp;$E$45&amp;"'!"&amp;"F9:I45"),MATCH(D$46,INDIRECT("'"&amp;$E$45&amp;"'!"&amp;"F10:I10"),0), FALSE))</f>
        <v>NA</v>
      </c>
      <c r="E47" s="95" t="str">
        <f ca="1">IF(NOT(COUNTA(INDIRECT("'"&amp;$E$45&amp;"'!"&amp;"G10:G45"))),"",VLOOKUP($A47,INDIRECT("'"&amp;$E$45&amp;"'!"&amp;"F9:I45"),MATCH(E$46,INDIRECT("'"&amp;$E$45&amp;"'!"&amp;"F10:I10"),0), FALSE))</f>
        <v/>
      </c>
    </row>
    <row r="48" spans="1:21" x14ac:dyDescent="0.3">
      <c r="A48" s="335" t="s">
        <v>776</v>
      </c>
      <c r="B48" s="335"/>
      <c r="C48" s="335"/>
      <c r="D48" s="335"/>
      <c r="E48" s="335"/>
    </row>
    <row r="59" spans="1:18" x14ac:dyDescent="0.3">
      <c r="H59" s="101"/>
    </row>
    <row r="60" spans="1:18" x14ac:dyDescent="0.3">
      <c r="H60" s="101"/>
    </row>
    <row r="61" spans="1:18" x14ac:dyDescent="0.3">
      <c r="A61" s="79" t="s">
        <v>710</v>
      </c>
      <c r="B61" s="80"/>
      <c r="C61" s="81"/>
      <c r="D61" s="81"/>
      <c r="E61" s="82" t="s">
        <v>711</v>
      </c>
      <c r="R61" s="102"/>
    </row>
    <row r="62" spans="1:18" x14ac:dyDescent="0.3">
      <c r="A62" s="85" t="s">
        <v>138</v>
      </c>
      <c r="B62" s="73"/>
      <c r="C62" s="86" t="s">
        <v>134</v>
      </c>
      <c r="D62" s="87" t="s">
        <v>135</v>
      </c>
      <c r="E62" s="87" t="s">
        <v>317</v>
      </c>
      <c r="R62" s="102"/>
    </row>
    <row r="63" spans="1:18" x14ac:dyDescent="0.3">
      <c r="A63" s="95" t="s">
        <v>279</v>
      </c>
      <c r="C63" s="100" t="str">
        <f ca="1">IF(NOT(COUNTA(INDIRECT("'"&amp;$E$61&amp;"'!"&amp;"G10:G45"))),"",VLOOKUP($A63,INDIRECT("'"&amp;$E$61&amp;"'!"&amp;"F9:I45"),MATCH(C$62,INDIRECT("'"&amp;$E$61&amp;"'!"&amp;"F10:I10"),0), FALSE))</f>
        <v/>
      </c>
      <c r="D63" s="90" t="str">
        <f ca="1">IF(NOT(COUNTA(INDIRECT("'"&amp;$E$61&amp;"'!"&amp;"G10:G45"))),"",VLOOKUP($A63,INDIRECT("'"&amp;$E$61&amp;"'!"&amp;"F9:I45"),MATCH(D$62,INDIRECT("'"&amp;$E$61&amp;"'!"&amp;"F10:I10"),0), FALSE))</f>
        <v>NA</v>
      </c>
      <c r="E63" s="95" t="str">
        <f ca="1">IF(NOT(COUNTA(INDIRECT("'"&amp;$E$61&amp;"'!"&amp;"G10:G45"))),"",VLOOKUP($A63,INDIRECT("'"&amp;$E$61&amp;"'!"&amp;"F9:I45"),MATCH(E$62,INDIRECT("'"&amp;$E$61&amp;"'!"&amp;"F10:I10"),0), FALSE))</f>
        <v/>
      </c>
      <c r="R63" s="102"/>
    </row>
    <row r="64" spans="1:18" x14ac:dyDescent="0.3">
      <c r="A64" s="335" t="s">
        <v>776</v>
      </c>
      <c r="B64" s="335"/>
      <c r="C64" s="335"/>
      <c r="D64" s="335"/>
      <c r="E64" s="335"/>
      <c r="R64" s="102"/>
    </row>
    <row r="75" spans="1:18" x14ac:dyDescent="0.3">
      <c r="H75" s="101"/>
    </row>
    <row r="76" spans="1:18" x14ac:dyDescent="0.3">
      <c r="H76" s="101"/>
    </row>
    <row r="77" spans="1:18" x14ac:dyDescent="0.3">
      <c r="A77" s="79" t="s">
        <v>678</v>
      </c>
      <c r="B77" s="80"/>
      <c r="C77" s="81"/>
      <c r="D77" s="81"/>
      <c r="E77" s="82" t="s">
        <v>712</v>
      </c>
      <c r="R77" s="102"/>
    </row>
    <row r="78" spans="1:18" x14ac:dyDescent="0.3">
      <c r="A78" s="85" t="s">
        <v>138</v>
      </c>
      <c r="B78" s="73"/>
      <c r="C78" s="86" t="s">
        <v>134</v>
      </c>
      <c r="D78" s="87" t="s">
        <v>135</v>
      </c>
      <c r="E78" s="87" t="s">
        <v>317</v>
      </c>
      <c r="R78" s="102"/>
    </row>
    <row r="79" spans="1:18" x14ac:dyDescent="0.3">
      <c r="A79" s="95" t="s">
        <v>279</v>
      </c>
      <c r="C79" s="100" t="str">
        <f ca="1">IF(NOT(COUNTA(INDIRECT("'"&amp;$E$77&amp;"'!"&amp;"G10:G45"))),"",VLOOKUP($A79,INDIRECT("'"&amp;$E$77&amp;"'!"&amp;"F9:I45"),MATCH(C$78,INDIRECT("'"&amp;$E$77&amp;"'!"&amp;"F10:I10"),0), FALSE))</f>
        <v/>
      </c>
      <c r="D79" s="90" t="str">
        <f ca="1">IF(NOT(COUNTA(INDIRECT("'"&amp;$E$77&amp;"'!"&amp;"G10:G45"))),"",VLOOKUP($A79,INDIRECT("'"&amp;$E$77&amp;"'!"&amp;"F9:I45"),MATCH(D$78,INDIRECT("'"&amp;$E$77&amp;"'!"&amp;"F10:I10"),0), FALSE))</f>
        <v>NA</v>
      </c>
      <c r="E79" s="95" t="str">
        <f ca="1">IF(NOT(COUNTA(INDIRECT("'"&amp;$E$77&amp;"'!"&amp;"G10:G45"))),"",VLOOKUP($A79,INDIRECT("'"&amp;$E$77&amp;"'!"&amp;"F9:I45"),MATCH(E$78,INDIRECT("'"&amp;$E$77&amp;"'!"&amp;"F10:I10"),0), FALSE))</f>
        <v/>
      </c>
      <c r="R79" s="102"/>
    </row>
    <row r="80" spans="1:18" x14ac:dyDescent="0.3">
      <c r="A80" s="335" t="s">
        <v>776</v>
      </c>
      <c r="B80" s="335"/>
      <c r="C80" s="335"/>
      <c r="D80" s="335"/>
      <c r="E80" s="335"/>
      <c r="R80" s="102"/>
    </row>
    <row r="81" spans="1:18" x14ac:dyDescent="0.3">
      <c r="R81" s="102"/>
    </row>
    <row r="91" spans="1:18" x14ac:dyDescent="0.3">
      <c r="H91" s="101"/>
    </row>
    <row r="92" spans="1:18" x14ac:dyDescent="0.3">
      <c r="H92" s="101"/>
    </row>
    <row r="93" spans="1:18" x14ac:dyDescent="0.3">
      <c r="A93" s="79" t="s">
        <v>1327</v>
      </c>
      <c r="B93" s="80"/>
      <c r="C93" s="81"/>
      <c r="D93" s="81"/>
      <c r="E93" s="82" t="s">
        <v>1339</v>
      </c>
      <c r="R93" s="102"/>
    </row>
    <row r="94" spans="1:18" x14ac:dyDescent="0.3">
      <c r="A94" s="85" t="s">
        <v>138</v>
      </c>
      <c r="B94" s="73"/>
      <c r="C94" s="86" t="s">
        <v>134</v>
      </c>
      <c r="D94" s="87" t="s">
        <v>135</v>
      </c>
      <c r="E94" s="87" t="s">
        <v>317</v>
      </c>
      <c r="R94" s="102"/>
    </row>
    <row r="95" spans="1:18" x14ac:dyDescent="0.3">
      <c r="A95" s="95" t="s">
        <v>279</v>
      </c>
      <c r="C95" s="100" t="str">
        <f ca="1">IF(NOT(COUNTA(INDIRECT("'"&amp;$E$93&amp;"'!"&amp;"G10:G45"))),"",VLOOKUP($A95,INDIRECT("'"&amp;$E$93&amp;"'!"&amp;"F9:I45"),MATCH(C$94,INDIRECT("'"&amp;$E$93&amp;"'!"&amp;"F10:I10"),0), FALSE))</f>
        <v/>
      </c>
      <c r="D95" s="90" t="str">
        <f ca="1">IF(NOT(COUNTA(INDIRECT("'"&amp;$E$93&amp;"'!"&amp;"G10:G45"))),"",VLOOKUP($A95,INDIRECT("'"&amp;$E$93&amp;"'!"&amp;"F9:I45"),MATCH(D$94,INDIRECT("'"&amp;$E$93&amp;"'!"&amp;"F10:I10"),0), FALSE))</f>
        <v>NA</v>
      </c>
      <c r="E95" s="95" t="str">
        <f ca="1">IF(NOT(COUNTA(INDIRECT("'"&amp;$E$93&amp;"'!"&amp;"G10:G45"))),"",VLOOKUP($A95,INDIRECT("'"&amp;$E$93&amp;"'!"&amp;"F9:I45"),MATCH(E$94,INDIRECT("'"&amp;$E$93&amp;"'!"&amp;"F10:I10"),0), FALSE))</f>
        <v/>
      </c>
      <c r="R95" s="102"/>
    </row>
    <row r="96" spans="1:18" x14ac:dyDescent="0.3">
      <c r="A96" s="335" t="s">
        <v>776</v>
      </c>
      <c r="B96" s="335"/>
      <c r="C96" s="335"/>
      <c r="D96" s="335"/>
      <c r="E96" s="335"/>
      <c r="R96" s="102"/>
    </row>
    <row r="97" spans="1:18" x14ac:dyDescent="0.3">
      <c r="R97" s="102"/>
    </row>
    <row r="98" spans="1:18" x14ac:dyDescent="0.3">
      <c r="R98" s="102"/>
    </row>
    <row r="99" spans="1:18" x14ac:dyDescent="0.3">
      <c r="R99" s="102"/>
    </row>
    <row r="109" spans="1:18" x14ac:dyDescent="0.3">
      <c r="A109" s="79" t="s">
        <v>1326</v>
      </c>
      <c r="B109" s="80"/>
      <c r="C109" s="81"/>
      <c r="D109" s="81"/>
      <c r="E109" s="82" t="s">
        <v>1329</v>
      </c>
      <c r="R109" s="102"/>
    </row>
    <row r="110" spans="1:18" x14ac:dyDescent="0.3">
      <c r="A110" s="85" t="s">
        <v>138</v>
      </c>
      <c r="B110" s="73"/>
      <c r="C110" s="86" t="s">
        <v>134</v>
      </c>
      <c r="D110" s="87" t="s">
        <v>135</v>
      </c>
      <c r="E110" s="87" t="s">
        <v>317</v>
      </c>
      <c r="R110" s="102"/>
    </row>
    <row r="111" spans="1:18" x14ac:dyDescent="0.3">
      <c r="A111" s="95" t="s">
        <v>279</v>
      </c>
      <c r="C111" s="100" t="str">
        <f ca="1">IF(NOT(COUNTA(INDIRECT("'"&amp;$E$109&amp;"'!"&amp;"G10:G45"))),"",VLOOKUP($A111,INDIRECT("'"&amp;$E$109&amp;"'!"&amp;"F9:I45"),MATCH(C$110,INDIRECT("'"&amp;$E$109&amp;"'!"&amp;"F10:I10"),0), FALSE))</f>
        <v/>
      </c>
      <c r="D111" s="90" t="str">
        <f ca="1">IF(NOT(COUNTA(INDIRECT("'"&amp;$E$109&amp;"'!"&amp;"G10:G45"))),"",VLOOKUP($A111,INDIRECT("'"&amp;$E$109&amp;"'!"&amp;"F9:I45"),MATCH(D$110,INDIRECT("'"&amp;$E$109&amp;"'!"&amp;"F10:I10"),0), FALSE))</f>
        <v>NA</v>
      </c>
      <c r="E111" s="95" t="str">
        <f ca="1">IF(NOT(COUNTA(INDIRECT("'"&amp;$E$109&amp;"'!"&amp;"G10:G45"))),"",VLOOKUP($A111,INDIRECT("'"&amp;$E$109&amp;"'!"&amp;"F9:I45"),MATCH(E$110,INDIRECT("'"&amp;$E$109&amp;"'!"&amp;"F10:I10"),0), FALSE))</f>
        <v/>
      </c>
      <c r="R111" s="102"/>
    </row>
    <row r="112" spans="1:18" x14ac:dyDescent="0.3">
      <c r="A112" s="335" t="s">
        <v>776</v>
      </c>
      <c r="B112" s="335"/>
      <c r="C112" s="335"/>
      <c r="D112" s="335"/>
      <c r="E112" s="335"/>
      <c r="R112" s="102"/>
    </row>
    <row r="113" spans="1:18" x14ac:dyDescent="0.3">
      <c r="R113" s="102"/>
    </row>
    <row r="114" spans="1:18" x14ac:dyDescent="0.3">
      <c r="R114" s="102"/>
    </row>
    <row r="115" spans="1:18" x14ac:dyDescent="0.3">
      <c r="R115" s="102"/>
    </row>
    <row r="125" spans="1:18" x14ac:dyDescent="0.3">
      <c r="A125" s="79" t="s">
        <v>741</v>
      </c>
      <c r="B125" s="80"/>
      <c r="C125" s="81"/>
      <c r="D125" s="81"/>
      <c r="E125" s="82" t="s">
        <v>417</v>
      </c>
      <c r="H125" s="101"/>
    </row>
    <row r="126" spans="1:18" x14ac:dyDescent="0.3">
      <c r="A126" s="85" t="s">
        <v>133</v>
      </c>
      <c r="B126" s="73"/>
      <c r="C126" s="86" t="s">
        <v>134</v>
      </c>
      <c r="D126" s="87" t="s">
        <v>135</v>
      </c>
      <c r="E126" s="87" t="s">
        <v>317</v>
      </c>
      <c r="H126" s="101"/>
    </row>
    <row r="127" spans="1:18" x14ac:dyDescent="0.3">
      <c r="A127" s="28" t="s">
        <v>367</v>
      </c>
      <c r="C127" s="89" t="str">
        <f t="shared" ref="C127:E139" ca="1" si="2">IF(NOT(COUNTA(INDIRECT("'"&amp;$E$125&amp;"'!"&amp;"G10:G45"))),"",VLOOKUP($A127,INDIRECT("'"&amp;$E$125&amp;"'!"&amp;"F9:I45"),MATCH(C$126,INDIRECT("'"&amp;$E$125&amp;"'!"&amp;"F10:I10"),0), FALSE))</f>
        <v/>
      </c>
      <c r="D127" s="90" t="str">
        <f t="shared" ca="1" si="2"/>
        <v>NA</v>
      </c>
      <c r="E127" s="95" t="str">
        <f t="shared" ca="1" si="2"/>
        <v/>
      </c>
      <c r="H127" s="101"/>
    </row>
    <row r="128" spans="1:18" x14ac:dyDescent="0.3">
      <c r="A128" s="28" t="s">
        <v>401</v>
      </c>
      <c r="C128" s="92" t="str">
        <f t="shared" ca="1" si="2"/>
        <v/>
      </c>
      <c r="D128" s="90" t="str">
        <f t="shared" ca="1" si="2"/>
        <v>NA</v>
      </c>
      <c r="E128" s="95" t="str">
        <f t="shared" ca="1" si="2"/>
        <v/>
      </c>
    </row>
    <row r="129" spans="1:18" x14ac:dyDescent="0.3">
      <c r="A129" s="28" t="s">
        <v>402</v>
      </c>
      <c r="C129" s="92" t="str">
        <f t="shared" ca="1" si="2"/>
        <v/>
      </c>
      <c r="D129" s="90" t="str">
        <f t="shared" ca="1" si="2"/>
        <v>NA</v>
      </c>
      <c r="E129" s="95" t="str">
        <f t="shared" ca="1" si="2"/>
        <v/>
      </c>
    </row>
    <row r="130" spans="1:18" x14ac:dyDescent="0.3">
      <c r="A130" s="28" t="s">
        <v>368</v>
      </c>
      <c r="C130" s="92" t="str">
        <f t="shared" ca="1" si="2"/>
        <v/>
      </c>
      <c r="D130" s="90" t="str">
        <f t="shared" ca="1" si="2"/>
        <v>NA</v>
      </c>
      <c r="E130" s="95" t="str">
        <f t="shared" ca="1" si="2"/>
        <v/>
      </c>
    </row>
    <row r="131" spans="1:18" x14ac:dyDescent="0.3">
      <c r="A131" s="28" t="s">
        <v>403</v>
      </c>
      <c r="C131" s="92" t="str">
        <f t="shared" ca="1" si="2"/>
        <v/>
      </c>
      <c r="D131" s="90" t="str">
        <f t="shared" ca="1" si="2"/>
        <v>NA</v>
      </c>
      <c r="E131" s="95" t="str">
        <f t="shared" ca="1" si="2"/>
        <v/>
      </c>
    </row>
    <row r="132" spans="1:18" x14ac:dyDescent="0.3">
      <c r="A132" s="28" t="s">
        <v>404</v>
      </c>
      <c r="C132" s="92" t="str">
        <f t="shared" ca="1" si="2"/>
        <v/>
      </c>
      <c r="D132" s="90" t="str">
        <f t="shared" ca="1" si="2"/>
        <v>NA</v>
      </c>
      <c r="E132" s="95" t="str">
        <f t="shared" ca="1" si="2"/>
        <v/>
      </c>
    </row>
    <row r="133" spans="1:18" x14ac:dyDescent="0.3">
      <c r="A133" s="28" t="s">
        <v>405</v>
      </c>
      <c r="C133" s="92" t="str">
        <f t="shared" ca="1" si="2"/>
        <v/>
      </c>
      <c r="D133" s="90" t="str">
        <f t="shared" ca="1" si="2"/>
        <v>NA</v>
      </c>
      <c r="E133" s="95" t="str">
        <f t="shared" ca="1" si="2"/>
        <v/>
      </c>
    </row>
    <row r="134" spans="1:18" x14ac:dyDescent="0.3">
      <c r="A134" s="28" t="s">
        <v>406</v>
      </c>
      <c r="C134" s="92" t="str">
        <f t="shared" ca="1" si="2"/>
        <v/>
      </c>
      <c r="D134" s="90" t="str">
        <f t="shared" ca="1" si="2"/>
        <v>NA</v>
      </c>
      <c r="E134" s="95" t="str">
        <f t="shared" ca="1" si="2"/>
        <v/>
      </c>
    </row>
    <row r="135" spans="1:18" x14ac:dyDescent="0.3">
      <c r="A135" s="28" t="s">
        <v>407</v>
      </c>
      <c r="C135" s="92" t="str">
        <f t="shared" ca="1" si="2"/>
        <v/>
      </c>
      <c r="D135" s="90" t="str">
        <f t="shared" ca="1" si="2"/>
        <v>NA</v>
      </c>
      <c r="E135" s="95" t="str">
        <f t="shared" ca="1" si="2"/>
        <v/>
      </c>
    </row>
    <row r="136" spans="1:18" x14ac:dyDescent="0.3">
      <c r="A136" s="28" t="s">
        <v>642</v>
      </c>
      <c r="C136" s="92" t="str">
        <f t="shared" ca="1" si="2"/>
        <v/>
      </c>
      <c r="D136" s="90" t="str">
        <f t="shared" ca="1" si="2"/>
        <v>NA</v>
      </c>
      <c r="E136" s="95" t="str">
        <f t="shared" ca="1" si="2"/>
        <v/>
      </c>
    </row>
    <row r="137" spans="1:18" x14ac:dyDescent="0.3">
      <c r="A137" s="28" t="s">
        <v>408</v>
      </c>
      <c r="C137" s="92" t="str">
        <f t="shared" ca="1" si="2"/>
        <v/>
      </c>
      <c r="D137" s="90" t="str">
        <f t="shared" ca="1" si="2"/>
        <v>NA</v>
      </c>
      <c r="E137" s="95" t="str">
        <f t="shared" ca="1" si="2"/>
        <v/>
      </c>
    </row>
    <row r="138" spans="1:18" x14ac:dyDescent="0.3">
      <c r="A138" s="28" t="s">
        <v>409</v>
      </c>
      <c r="C138" s="92" t="str">
        <f t="shared" ca="1" si="2"/>
        <v/>
      </c>
      <c r="D138" s="90" t="str">
        <f t="shared" ca="1" si="2"/>
        <v>NA</v>
      </c>
      <c r="E138" s="95" t="str">
        <f t="shared" ca="1" si="2"/>
        <v/>
      </c>
    </row>
    <row r="139" spans="1:18" x14ac:dyDescent="0.3">
      <c r="A139" s="28" t="s">
        <v>410</v>
      </c>
      <c r="C139" s="93" t="str">
        <f t="shared" ca="1" si="2"/>
        <v/>
      </c>
      <c r="D139" s="90" t="str">
        <f t="shared" ca="1" si="2"/>
        <v>NA</v>
      </c>
      <c r="E139" s="95" t="str">
        <f t="shared" ca="1" si="2"/>
        <v/>
      </c>
    </row>
    <row r="140" spans="1:18" x14ac:dyDescent="0.3">
      <c r="A140" s="335" t="s">
        <v>799</v>
      </c>
      <c r="B140" s="335"/>
      <c r="C140" s="335"/>
      <c r="D140" s="335"/>
      <c r="E140" s="335"/>
      <c r="H140" s="101"/>
    </row>
    <row r="141" spans="1:18" x14ac:dyDescent="0.3">
      <c r="H141" s="101"/>
    </row>
    <row r="142" spans="1:18" x14ac:dyDescent="0.3">
      <c r="H142" s="101"/>
    </row>
    <row r="143" spans="1:18" x14ac:dyDescent="0.3">
      <c r="H143" s="101"/>
    </row>
    <row r="144" spans="1:18" x14ac:dyDescent="0.3">
      <c r="A144" s="79" t="s">
        <v>1181</v>
      </c>
      <c r="B144" s="80"/>
      <c r="C144" s="81"/>
      <c r="D144" s="81"/>
      <c r="E144" s="82" t="s">
        <v>1184</v>
      </c>
      <c r="R144" s="102"/>
    </row>
    <row r="145" spans="1:18" x14ac:dyDescent="0.3">
      <c r="A145" s="85" t="s">
        <v>133</v>
      </c>
      <c r="B145" s="73"/>
      <c r="C145" s="86" t="s">
        <v>134</v>
      </c>
      <c r="D145" s="87" t="s">
        <v>135</v>
      </c>
      <c r="E145" s="87" t="s">
        <v>317</v>
      </c>
      <c r="R145" s="102"/>
    </row>
    <row r="146" spans="1:18" x14ac:dyDescent="0.3">
      <c r="A146" s="95" t="s">
        <v>279</v>
      </c>
      <c r="C146" s="100" t="str">
        <f ca="1">IF(NOT(COUNTA(INDIRECT("'"&amp;$E$144&amp;"'!"&amp;"G10:G45"))),"",VLOOKUP($A146,INDIRECT("'"&amp;$E$144&amp;"'!"&amp;"F9:I45"),MATCH(C$145,INDIRECT("'"&amp;$E$144&amp;"'!"&amp;"F10:I10"),0), FALSE))</f>
        <v/>
      </c>
      <c r="D146" s="90" t="str">
        <f ca="1">IF(NOT(COUNTA(INDIRECT("'"&amp;$E$144&amp;"'!"&amp;"G10:G45"))),"",VLOOKUP($A146,INDIRECT("'"&amp;$E$144&amp;"'!"&amp;"F9:I45"),MATCH(D$145,INDIRECT("'"&amp;$E$144&amp;"'!"&amp;"F10:I10"),0), FALSE))</f>
        <v>NA</v>
      </c>
      <c r="E146" s="95" t="str">
        <f ca="1">IF(NOT(COUNTA(INDIRECT("'"&amp;$E$144&amp;"'!"&amp;"G10:G45"))),"",VLOOKUP($A146,INDIRECT("'"&amp;$E$144&amp;"'!"&amp;"F9:I45"),MATCH(E$145,INDIRECT("'"&amp;$E$144&amp;"'!"&amp;"F10:I10"),0), FALSE))</f>
        <v/>
      </c>
      <c r="R146" s="102"/>
    </row>
    <row r="147" spans="1:18" x14ac:dyDescent="0.3">
      <c r="A147" s="336" t="s">
        <v>1381</v>
      </c>
      <c r="B147" s="336"/>
      <c r="C147" s="336"/>
      <c r="D147" s="336"/>
      <c r="E147" s="336"/>
      <c r="R147" s="102"/>
    </row>
    <row r="148" spans="1:18" x14ac:dyDescent="0.3">
      <c r="R148" s="102"/>
    </row>
    <row r="149" spans="1:18" x14ac:dyDescent="0.3">
      <c r="R149" s="102"/>
    </row>
    <row r="150" spans="1:18" x14ac:dyDescent="0.3">
      <c r="R150" s="102"/>
    </row>
    <row r="160" spans="1:18" x14ac:dyDescent="0.3">
      <c r="A160" s="79" t="s">
        <v>1178</v>
      </c>
      <c r="B160" s="80"/>
      <c r="C160" s="81"/>
      <c r="D160" s="81"/>
      <c r="E160" s="82" t="s">
        <v>1183</v>
      </c>
    </row>
    <row r="161" spans="1:5" x14ac:dyDescent="0.3">
      <c r="A161" s="85" t="s">
        <v>133</v>
      </c>
      <c r="B161" s="73"/>
      <c r="C161" s="86" t="s">
        <v>1366</v>
      </c>
      <c r="D161" s="87" t="s">
        <v>135</v>
      </c>
      <c r="E161" s="87" t="s">
        <v>317</v>
      </c>
    </row>
    <row r="162" spans="1:5" x14ac:dyDescent="0.3">
      <c r="A162" s="88" t="s">
        <v>1215</v>
      </c>
      <c r="B162" s="103" t="s">
        <v>1215</v>
      </c>
      <c r="C162" s="104" t="str">
        <f t="shared" ref="C162:E165" ca="1" si="3">IF(NOT(COUNTA(INDIRECT("'"&amp;$E$160&amp;"'!"&amp;"G10:G45"))),"",VLOOKUP($A162,INDIRECT("'"&amp;$E$160&amp;"'!"&amp;"F9:I45"),MATCH(C$161,INDIRECT("'"&amp;$E$160&amp;"'!"&amp;"F10:I10"),0), FALSE))</f>
        <v/>
      </c>
      <c r="D162" s="90" t="str">
        <f t="shared" ca="1" si="3"/>
        <v>NA</v>
      </c>
      <c r="E162" s="91" t="str">
        <f t="shared" ca="1" si="3"/>
        <v>Not available</v>
      </c>
    </row>
    <row r="163" spans="1:5" x14ac:dyDescent="0.3">
      <c r="A163" s="88" t="s">
        <v>1216</v>
      </c>
      <c r="B163" s="103" t="s">
        <v>1216</v>
      </c>
      <c r="C163" s="104" t="str">
        <f t="shared" ca="1" si="3"/>
        <v/>
      </c>
      <c r="D163" s="90" t="str">
        <f t="shared" ca="1" si="3"/>
        <v>NA</v>
      </c>
      <c r="E163" s="91" t="str">
        <f t="shared" ca="1" si="3"/>
        <v>Not available</v>
      </c>
    </row>
    <row r="164" spans="1:5" x14ac:dyDescent="0.3">
      <c r="A164" s="88" t="s">
        <v>1217</v>
      </c>
      <c r="B164" s="103" t="s">
        <v>1217</v>
      </c>
      <c r="C164" s="104" t="str">
        <f t="shared" ca="1" si="3"/>
        <v/>
      </c>
      <c r="D164" s="90" t="str">
        <f t="shared" ca="1" si="3"/>
        <v>NA</v>
      </c>
      <c r="E164" s="91" t="str">
        <f t="shared" ca="1" si="3"/>
        <v>Not available</v>
      </c>
    </row>
    <row r="165" spans="1:5" x14ac:dyDescent="0.3">
      <c r="A165" s="88" t="s">
        <v>1218</v>
      </c>
      <c r="B165" s="103" t="s">
        <v>1218</v>
      </c>
      <c r="C165" s="104" t="str">
        <f t="shared" ca="1" si="3"/>
        <v/>
      </c>
      <c r="D165" s="90" t="str">
        <f t="shared" ca="1" si="3"/>
        <v>NA</v>
      </c>
      <c r="E165" s="91" t="str">
        <f t="shared" ca="1" si="3"/>
        <v>Not available</v>
      </c>
    </row>
    <row r="166" spans="1:5" x14ac:dyDescent="0.3">
      <c r="A166" s="73" t="s">
        <v>1003</v>
      </c>
      <c r="B166" s="105"/>
      <c r="C166" s="106"/>
      <c r="D166" s="87"/>
      <c r="E166" s="107"/>
    </row>
    <row r="167" spans="1:5" x14ac:dyDescent="0.3">
      <c r="A167" s="88" t="s">
        <v>1382</v>
      </c>
      <c r="B167" s="103" t="s">
        <v>1382</v>
      </c>
      <c r="C167" s="108" t="str">
        <f ca="1">IF(NOT(COUNTA(INDIRECT("'"&amp;$E$160&amp;"'!"&amp;"G10:G45"))),"",VLOOKUP($A167,INDIRECT("'"&amp;$E$160&amp;"'!"&amp;"F9:I45"),MATCH(C$161,INDIRECT("'"&amp;$E$160&amp;"'!"&amp;"F10:I10"),0), FALSE))</f>
        <v/>
      </c>
      <c r="D167" s="90" t="str">
        <f ca="1">IF(NOT(COUNTA(INDIRECT("'"&amp;$E$160&amp;"'!"&amp;"G10:G45"))),"",VLOOKUP($A167,INDIRECT("'"&amp;$E$160&amp;"'!"&amp;"F9:I45"),MATCH(D$161,INDIRECT("'"&amp;$E$160&amp;"'!"&amp;"F10:I10"),0), FALSE))</f>
        <v>NA</v>
      </c>
      <c r="E167" s="91" t="str">
        <f ca="1">IF(NOT(COUNTA(INDIRECT("'"&amp;$E$160&amp;"'!"&amp;"G10:G45"))),"",VLOOKUP($A167,INDIRECT("'"&amp;$E$160&amp;"'!"&amp;"F9:I45"),MATCH(E$161,INDIRECT("'"&amp;$E$160&amp;"'!"&amp;"F10:I10"),0), FALSE))</f>
        <v/>
      </c>
    </row>
    <row r="168" spans="1:5" x14ac:dyDescent="0.3">
      <c r="A168" s="336" t="s">
        <v>1376</v>
      </c>
      <c r="B168" s="336"/>
      <c r="C168" s="336"/>
      <c r="D168" s="336"/>
      <c r="E168" s="336"/>
    </row>
    <row r="176" spans="1:5" x14ac:dyDescent="0.3">
      <c r="A176" s="79" t="s">
        <v>1180</v>
      </c>
      <c r="B176" s="80"/>
      <c r="C176" s="81"/>
      <c r="D176" s="81"/>
      <c r="E176" s="82" t="s">
        <v>1185</v>
      </c>
    </row>
    <row r="177" spans="1:18" x14ac:dyDescent="0.3">
      <c r="A177" s="85" t="s">
        <v>138</v>
      </c>
      <c r="B177" s="73"/>
      <c r="C177" s="86" t="s">
        <v>134</v>
      </c>
      <c r="D177" s="87" t="s">
        <v>135</v>
      </c>
      <c r="E177" s="87" t="s">
        <v>317</v>
      </c>
    </row>
    <row r="178" spans="1:18" x14ac:dyDescent="0.3">
      <c r="A178" s="95" t="s">
        <v>279</v>
      </c>
      <c r="B178" s="103" t="s">
        <v>325</v>
      </c>
      <c r="C178" s="109" t="str">
        <f ca="1">IF(NOT(COUNTA(INDIRECT("'"&amp;$E$176&amp;"'!"&amp;"G10:G45"))),"",VLOOKUP($A178,INDIRECT("'"&amp;$E$176&amp;"'!"&amp;"F9:I45"),MATCH(C$177,INDIRECT("'"&amp;$E$176&amp;"'!"&amp;"F10:I10"),0), FALSE))</f>
        <v/>
      </c>
      <c r="D178" s="90" t="str">
        <f ca="1">IF(NOT(COUNTA(INDIRECT("'"&amp;$E$176&amp;"'!"&amp;"G10:G45"))),"",VLOOKUP($A178,INDIRECT("'"&amp;$E$176&amp;"'!"&amp;"F9:I45"),MATCH(D$177,INDIRECT("'"&amp;$E$176&amp;"'!"&amp;"F10:I10"),0), FALSE))</f>
        <v>NA</v>
      </c>
      <c r="E178" s="95" t="str">
        <f ca="1">IF(NOT(COUNTA(INDIRECT("'"&amp;$E$176&amp;"'!"&amp;"G10:G45"))),"",VLOOKUP($A178,INDIRECT("'"&amp;$E$176&amp;"'!"&amp;"F9:I45"),MATCH(E$177,INDIRECT("'"&amp;$E$176&amp;"'!"&amp;"F10:I10"),0), FALSE))</f>
        <v/>
      </c>
    </row>
    <row r="179" spans="1:18" x14ac:dyDescent="0.3">
      <c r="A179" s="336" t="s">
        <v>1376</v>
      </c>
      <c r="B179" s="336"/>
      <c r="C179" s="336"/>
      <c r="D179" s="336"/>
      <c r="E179" s="336"/>
    </row>
    <row r="192" spans="1:18" x14ac:dyDescent="0.3">
      <c r="A192" s="79" t="s">
        <v>742</v>
      </c>
      <c r="B192" s="80"/>
      <c r="C192" s="81"/>
      <c r="D192" s="81"/>
      <c r="E192" s="82" t="s">
        <v>748</v>
      </c>
      <c r="R192" s="102"/>
    </row>
    <row r="193" spans="1:18" x14ac:dyDescent="0.3">
      <c r="A193" s="85" t="s">
        <v>138</v>
      </c>
      <c r="B193" s="73"/>
      <c r="C193" s="86" t="s">
        <v>134</v>
      </c>
      <c r="D193" s="87" t="s">
        <v>135</v>
      </c>
      <c r="E193" s="87" t="s">
        <v>317</v>
      </c>
      <c r="R193" s="102"/>
    </row>
    <row r="194" spans="1:18" x14ac:dyDescent="0.3">
      <c r="A194" s="95" t="s">
        <v>279</v>
      </c>
      <c r="C194" s="100" t="str">
        <f ca="1">IF(NOT(COUNTA(INDIRECT("'"&amp;$E$192&amp;"'!"&amp;"G10:G45"))),"",VLOOKUP($A194,INDIRECT("'"&amp;$E$192&amp;"'!"&amp;"F9:I45"),MATCH(C$193,INDIRECT("'"&amp;$E$192&amp;"'!"&amp;"F10:I10"),0), FALSE))</f>
        <v/>
      </c>
      <c r="D194" s="90" t="str">
        <f ca="1">IF(NOT(COUNTA(INDIRECT("'"&amp;$E$192&amp;"'!"&amp;"G10:G45"))),"",VLOOKUP($A194,INDIRECT("'"&amp;$E$192&amp;"'!"&amp;"F9:I45"),MATCH(D$193,INDIRECT("'"&amp;$E$192&amp;"'!"&amp;"F10:I10"),0), FALSE))</f>
        <v>NA</v>
      </c>
      <c r="E194" s="95" t="str">
        <f ca="1">IF(NOT(COUNTA(INDIRECT("'"&amp;$E$192&amp;"'!"&amp;"G10:G45"))),"",VLOOKUP($A194,INDIRECT("'"&amp;$E$192&amp;"'!"&amp;"F9:I45"),MATCH(E$193,INDIRECT("'"&amp;$E$192&amp;"'!"&amp;"F10:I10"),0), FALSE))</f>
        <v/>
      </c>
      <c r="R194" s="102"/>
    </row>
    <row r="195" spans="1:18" x14ac:dyDescent="0.3">
      <c r="A195" s="335" t="s">
        <v>776</v>
      </c>
      <c r="B195" s="335"/>
      <c r="C195" s="335"/>
      <c r="D195" s="335"/>
      <c r="E195" s="335"/>
      <c r="R195" s="102"/>
    </row>
    <row r="196" spans="1:18" x14ac:dyDescent="0.3">
      <c r="R196" s="102"/>
    </row>
    <row r="197" spans="1:18" x14ac:dyDescent="0.3">
      <c r="R197" s="102"/>
    </row>
    <row r="198" spans="1:18" x14ac:dyDescent="0.3">
      <c r="R198" s="102"/>
    </row>
    <row r="208" spans="1:18" ht="21" x14ac:dyDescent="0.35">
      <c r="A208" s="72" t="s">
        <v>1112</v>
      </c>
      <c r="B208" s="73"/>
      <c r="C208" s="73"/>
      <c r="D208" s="73"/>
      <c r="E208" s="73"/>
      <c r="F208" s="73"/>
      <c r="G208" s="73"/>
      <c r="H208" s="73"/>
      <c r="I208" s="73"/>
      <c r="J208" s="73"/>
      <c r="K208" s="73"/>
      <c r="L208" s="73"/>
      <c r="M208" s="73"/>
      <c r="N208" s="73"/>
      <c r="O208" s="73"/>
      <c r="P208" s="73"/>
    </row>
    <row r="210" spans="1:5" x14ac:dyDescent="0.3">
      <c r="A210" s="79" t="s">
        <v>0</v>
      </c>
      <c r="B210" s="80"/>
      <c r="C210" s="81"/>
      <c r="D210" s="81"/>
      <c r="E210" s="82" t="s">
        <v>122</v>
      </c>
    </row>
    <row r="211" spans="1:5" x14ac:dyDescent="0.3">
      <c r="A211" s="85" t="s">
        <v>133</v>
      </c>
      <c r="B211" s="73"/>
      <c r="C211" s="86" t="s">
        <v>134</v>
      </c>
      <c r="D211" s="87" t="s">
        <v>135</v>
      </c>
      <c r="E211" s="87" t="s">
        <v>317</v>
      </c>
    </row>
    <row r="212" spans="1:5" x14ac:dyDescent="0.3">
      <c r="A212" s="110" t="s">
        <v>226</v>
      </c>
      <c r="B212" s="28" t="s">
        <v>155</v>
      </c>
      <c r="C212" s="89" t="str">
        <f t="shared" ref="C212:E216" ca="1" si="4">IF(NOT(COUNTA(INDIRECT("'"&amp;$E$210&amp;"'!"&amp;"G10:G45"))),"",VLOOKUP($A212,INDIRECT("'"&amp;$E$210&amp;"'!"&amp;"F9:I45"),MATCH(C$211,INDIRECT("'"&amp;$E$210&amp;"'!"&amp;"F10:I10"),0), FALSE))</f>
        <v/>
      </c>
      <c r="D212" s="111" t="str">
        <f t="shared" ca="1" si="4"/>
        <v/>
      </c>
      <c r="E212" s="28" t="str">
        <f t="shared" ca="1" si="4"/>
        <v/>
      </c>
    </row>
    <row r="213" spans="1:5" x14ac:dyDescent="0.3">
      <c r="A213" s="110" t="s">
        <v>227</v>
      </c>
      <c r="B213" s="28" t="s">
        <v>156</v>
      </c>
      <c r="C213" s="89" t="str">
        <f t="shared" ca="1" si="4"/>
        <v/>
      </c>
      <c r="D213" s="111" t="str">
        <f t="shared" ca="1" si="4"/>
        <v/>
      </c>
      <c r="E213" s="28" t="str">
        <f t="shared" ca="1" si="4"/>
        <v/>
      </c>
    </row>
    <row r="214" spans="1:5" x14ac:dyDescent="0.3">
      <c r="A214" s="110" t="s">
        <v>228</v>
      </c>
      <c r="B214" s="28" t="s">
        <v>157</v>
      </c>
      <c r="C214" s="89" t="str">
        <f t="shared" ca="1" si="4"/>
        <v/>
      </c>
      <c r="D214" s="111" t="str">
        <f t="shared" ca="1" si="4"/>
        <v/>
      </c>
      <c r="E214" s="28" t="str">
        <f t="shared" ca="1" si="4"/>
        <v/>
      </c>
    </row>
    <row r="215" spans="1:5" x14ac:dyDescent="0.3">
      <c r="A215" s="110" t="s">
        <v>229</v>
      </c>
      <c r="B215" s="28" t="s">
        <v>158</v>
      </c>
      <c r="C215" s="89" t="str">
        <f t="shared" ca="1" si="4"/>
        <v/>
      </c>
      <c r="D215" s="111" t="str">
        <f t="shared" ca="1" si="4"/>
        <v/>
      </c>
      <c r="E215" s="28" t="str">
        <f t="shared" ca="1" si="4"/>
        <v/>
      </c>
    </row>
    <row r="216" spans="1:5" x14ac:dyDescent="0.3">
      <c r="A216" s="110" t="s">
        <v>230</v>
      </c>
      <c r="B216" s="28" t="s">
        <v>159</v>
      </c>
      <c r="C216" s="89" t="str">
        <f t="shared" ca="1" si="4"/>
        <v/>
      </c>
      <c r="D216" s="111" t="str">
        <f t="shared" ca="1" si="4"/>
        <v/>
      </c>
      <c r="E216" s="28" t="str">
        <f t="shared" ca="1" si="4"/>
        <v/>
      </c>
    </row>
    <row r="217" spans="1:5" x14ac:dyDescent="0.3">
      <c r="A217" s="85" t="s">
        <v>137</v>
      </c>
      <c r="B217" s="73"/>
      <c r="C217" s="86"/>
      <c r="D217" s="112"/>
      <c r="E217" s="73"/>
    </row>
    <row r="218" spans="1:5" x14ac:dyDescent="0.3">
      <c r="A218" s="110" t="s">
        <v>231</v>
      </c>
      <c r="B218" s="28" t="s">
        <v>160</v>
      </c>
      <c r="C218" s="89" t="str">
        <f t="shared" ref="C218:E223" ca="1" si="5">IF(NOT(COUNTA(INDIRECT("'"&amp;$E$210&amp;"'!"&amp;"G10:G45"))),"",VLOOKUP($A218,INDIRECT("'"&amp;$E$210&amp;"'!"&amp;"F9:I45"),MATCH(C$211,INDIRECT("'"&amp;$E$210&amp;"'!"&amp;"F10:I10"),0), FALSE))</f>
        <v/>
      </c>
      <c r="D218" s="111" t="str">
        <f t="shared" ca="1" si="5"/>
        <v/>
      </c>
      <c r="E218" s="28" t="str">
        <f t="shared" ca="1" si="5"/>
        <v/>
      </c>
    </row>
    <row r="219" spans="1:5" x14ac:dyDescent="0.3">
      <c r="A219" s="110" t="s">
        <v>232</v>
      </c>
      <c r="B219" s="28" t="s">
        <v>161</v>
      </c>
      <c r="C219" s="89" t="str">
        <f t="shared" ca="1" si="5"/>
        <v/>
      </c>
      <c r="D219" s="111" t="str">
        <f t="shared" ca="1" si="5"/>
        <v/>
      </c>
      <c r="E219" s="28" t="str">
        <f t="shared" ca="1" si="5"/>
        <v/>
      </c>
    </row>
    <row r="220" spans="1:5" x14ac:dyDescent="0.3">
      <c r="A220" s="110" t="s">
        <v>233</v>
      </c>
      <c r="B220" s="28" t="s">
        <v>162</v>
      </c>
      <c r="C220" s="89" t="str">
        <f t="shared" ca="1" si="5"/>
        <v/>
      </c>
      <c r="D220" s="111" t="str">
        <f t="shared" ca="1" si="5"/>
        <v/>
      </c>
      <c r="E220" s="28" t="str">
        <f t="shared" ca="1" si="5"/>
        <v/>
      </c>
    </row>
    <row r="221" spans="1:5" x14ac:dyDescent="0.3">
      <c r="A221" s="110" t="s">
        <v>234</v>
      </c>
      <c r="B221" s="28" t="s">
        <v>163</v>
      </c>
      <c r="C221" s="89" t="str">
        <f t="shared" ca="1" si="5"/>
        <v/>
      </c>
      <c r="D221" s="111" t="str">
        <f t="shared" ca="1" si="5"/>
        <v/>
      </c>
      <c r="E221" s="28" t="str">
        <f t="shared" ca="1" si="5"/>
        <v/>
      </c>
    </row>
    <row r="222" spans="1:5" x14ac:dyDescent="0.3">
      <c r="A222" s="110" t="s">
        <v>235</v>
      </c>
      <c r="B222" s="28" t="s">
        <v>164</v>
      </c>
      <c r="C222" s="89" t="str">
        <f t="shared" ca="1" si="5"/>
        <v/>
      </c>
      <c r="D222" s="111" t="str">
        <f t="shared" ca="1" si="5"/>
        <v/>
      </c>
      <c r="E222" s="28" t="str">
        <f t="shared" ca="1" si="5"/>
        <v/>
      </c>
    </row>
    <row r="223" spans="1:5" x14ac:dyDescent="0.3">
      <c r="A223" s="113" t="s">
        <v>138</v>
      </c>
      <c r="B223" s="114" t="s">
        <v>225</v>
      </c>
      <c r="C223" s="100" t="str">
        <f t="shared" ca="1" si="5"/>
        <v/>
      </c>
      <c r="D223" s="115" t="str">
        <f t="shared" ca="1" si="5"/>
        <v/>
      </c>
      <c r="E223" s="114" t="str">
        <f t="shared" ca="1" si="5"/>
        <v/>
      </c>
    </row>
    <row r="224" spans="1:5" x14ac:dyDescent="0.3">
      <c r="A224" s="335" t="s">
        <v>236</v>
      </c>
      <c r="B224" s="335"/>
      <c r="C224" s="335"/>
      <c r="D224" s="335"/>
      <c r="E224" s="335"/>
    </row>
    <row r="225" spans="1:5" x14ac:dyDescent="0.3">
      <c r="A225" s="116"/>
      <c r="B225" s="116"/>
      <c r="C225" s="116"/>
      <c r="D225" s="116"/>
      <c r="E225" s="116"/>
    </row>
    <row r="226" spans="1:5" x14ac:dyDescent="0.3">
      <c r="A226" s="116"/>
      <c r="B226" s="116"/>
      <c r="C226" s="116"/>
      <c r="D226" s="116"/>
      <c r="E226" s="116"/>
    </row>
    <row r="228" spans="1:5" x14ac:dyDescent="0.3">
      <c r="A228" s="79" t="s">
        <v>1171</v>
      </c>
      <c r="B228" s="80"/>
      <c r="C228" s="81"/>
      <c r="D228" s="81"/>
      <c r="E228" s="82" t="s">
        <v>1186</v>
      </c>
    </row>
    <row r="229" spans="1:5" x14ac:dyDescent="0.3">
      <c r="A229" s="85" t="s">
        <v>138</v>
      </c>
      <c r="B229" s="73"/>
      <c r="C229" s="86" t="s">
        <v>134</v>
      </c>
      <c r="D229" s="87" t="s">
        <v>135</v>
      </c>
      <c r="E229" s="87" t="s">
        <v>317</v>
      </c>
    </row>
    <row r="230" spans="1:5" x14ac:dyDescent="0.3">
      <c r="A230" s="113" t="s">
        <v>279</v>
      </c>
      <c r="B230" s="114" t="s">
        <v>225</v>
      </c>
      <c r="C230" s="100" t="str">
        <f ca="1">IF(NOT(COUNTA(INDIRECT("'"&amp;$E$228&amp;"'!"&amp;"G10:G45"))),"",VLOOKUP($A230,INDIRECT("'"&amp;$E$228&amp;"'!"&amp;"F9:I45"),MATCH(C$229,INDIRECT("'"&amp;$E$228&amp;"'!"&amp;"F10:I10"),0), FALSE))</f>
        <v/>
      </c>
      <c r="D230" s="115" t="str">
        <f ca="1">IF(NOT(COUNTA(INDIRECT("'"&amp;$E$228&amp;"'!"&amp;"G10:G45"))),"",VLOOKUP($A230,INDIRECT("'"&amp;$E$228&amp;"'!"&amp;"F9:I45"),MATCH(D$229,INDIRECT("'"&amp;$E$228&amp;"'!"&amp;"F10:I10"),0), FALSE))</f>
        <v/>
      </c>
      <c r="E230" s="114" t="str">
        <f ca="1">IF(NOT(COUNTA(INDIRECT("'"&amp;$E$228&amp;"'!"&amp;"G10:G45"))),"",VLOOKUP($A230,INDIRECT("'"&amp;$E$228&amp;"'!"&amp;"F9:I45"),MATCH(E$229,INDIRECT("'"&amp;$E$228&amp;"'!"&amp;"F10:I10"),0), FALSE))</f>
        <v/>
      </c>
    </row>
    <row r="231" spans="1:5" x14ac:dyDescent="0.3">
      <c r="A231" s="335" t="s">
        <v>236</v>
      </c>
      <c r="B231" s="335"/>
      <c r="C231" s="335"/>
      <c r="D231" s="335"/>
      <c r="E231" s="335"/>
    </row>
    <row r="232" spans="1:5" x14ac:dyDescent="0.3">
      <c r="A232" s="116"/>
      <c r="B232" s="116"/>
      <c r="C232" s="116"/>
      <c r="D232" s="116"/>
      <c r="E232" s="116"/>
    </row>
    <row r="233" spans="1:5" x14ac:dyDescent="0.3">
      <c r="A233" s="116"/>
      <c r="B233" s="116"/>
      <c r="C233" s="116"/>
      <c r="D233" s="116"/>
      <c r="E233" s="116"/>
    </row>
    <row r="245" spans="1:5" x14ac:dyDescent="0.3">
      <c r="A245" s="79" t="s">
        <v>27</v>
      </c>
      <c r="B245" s="80"/>
      <c r="C245" s="81"/>
      <c r="D245" s="81"/>
      <c r="E245" s="82" t="s">
        <v>124</v>
      </c>
    </row>
    <row r="246" spans="1:5" x14ac:dyDescent="0.3">
      <c r="A246" s="85" t="s">
        <v>133</v>
      </c>
      <c r="B246" s="73"/>
      <c r="C246" s="86" t="s">
        <v>134</v>
      </c>
      <c r="D246" s="87" t="s">
        <v>135</v>
      </c>
      <c r="E246" s="87" t="s">
        <v>317</v>
      </c>
    </row>
    <row r="247" spans="1:5" x14ac:dyDescent="0.3">
      <c r="A247" s="110" t="s">
        <v>166</v>
      </c>
      <c r="B247" s="28" t="s">
        <v>256</v>
      </c>
      <c r="C247" s="89" t="str">
        <f t="shared" ref="C247:E254" ca="1" si="6">IF(NOT(COUNTA(INDIRECT("'"&amp;$E$245&amp;"'!"&amp;"G10:G45"))),"",VLOOKUP($A247,INDIRECT("'"&amp;$E$245&amp;"'!"&amp;"F9:I45"),MATCH(C$246,INDIRECT("'"&amp;$E$245&amp;"'!"&amp;"F10:I10"),0), FALSE))</f>
        <v/>
      </c>
      <c r="D247" s="111" t="str">
        <f t="shared" ca="1" si="6"/>
        <v/>
      </c>
      <c r="E247" s="28" t="str">
        <f t="shared" ca="1" si="6"/>
        <v/>
      </c>
    </row>
    <row r="248" spans="1:5" x14ac:dyDescent="0.3">
      <c r="A248" s="110" t="s">
        <v>167</v>
      </c>
      <c r="B248" s="28" t="s">
        <v>257</v>
      </c>
      <c r="C248" s="89" t="str">
        <f t="shared" ca="1" si="6"/>
        <v/>
      </c>
      <c r="D248" s="111" t="str">
        <f t="shared" ca="1" si="6"/>
        <v/>
      </c>
      <c r="E248" s="28" t="str">
        <f t="shared" ca="1" si="6"/>
        <v/>
      </c>
    </row>
    <row r="249" spans="1:5" x14ac:dyDescent="0.3">
      <c r="A249" s="110" t="s">
        <v>168</v>
      </c>
      <c r="B249" s="28" t="s">
        <v>258</v>
      </c>
      <c r="C249" s="89" t="str">
        <f t="shared" ca="1" si="6"/>
        <v/>
      </c>
      <c r="D249" s="111" t="str">
        <f t="shared" ca="1" si="6"/>
        <v/>
      </c>
      <c r="E249" s="28" t="str">
        <f t="shared" ca="1" si="6"/>
        <v/>
      </c>
    </row>
    <row r="250" spans="1:5" x14ac:dyDescent="0.3">
      <c r="A250" s="110" t="s">
        <v>169</v>
      </c>
      <c r="B250" s="28" t="s">
        <v>259</v>
      </c>
      <c r="C250" s="89" t="str">
        <f t="shared" ca="1" si="6"/>
        <v/>
      </c>
      <c r="D250" s="111" t="str">
        <f t="shared" ca="1" si="6"/>
        <v/>
      </c>
      <c r="E250" s="28" t="str">
        <f t="shared" ca="1" si="6"/>
        <v/>
      </c>
    </row>
    <row r="251" spans="1:5" x14ac:dyDescent="0.3">
      <c r="A251" s="110" t="s">
        <v>170</v>
      </c>
      <c r="B251" s="28" t="s">
        <v>260</v>
      </c>
      <c r="C251" s="89" t="str">
        <f t="shared" ca="1" si="6"/>
        <v/>
      </c>
      <c r="D251" s="111" t="str">
        <f t="shared" ca="1" si="6"/>
        <v/>
      </c>
      <c r="E251" s="28" t="str">
        <f t="shared" ca="1" si="6"/>
        <v/>
      </c>
    </row>
    <row r="252" spans="1:5" x14ac:dyDescent="0.3">
      <c r="A252" s="110" t="s">
        <v>171</v>
      </c>
      <c r="B252" s="28" t="s">
        <v>261</v>
      </c>
      <c r="C252" s="89" t="str">
        <f t="shared" ca="1" si="6"/>
        <v/>
      </c>
      <c r="D252" s="111" t="str">
        <f t="shared" ca="1" si="6"/>
        <v/>
      </c>
      <c r="E252" s="28" t="str">
        <f t="shared" ca="1" si="6"/>
        <v/>
      </c>
    </row>
    <row r="253" spans="1:5" x14ac:dyDescent="0.3">
      <c r="A253" s="110" t="s">
        <v>172</v>
      </c>
      <c r="B253" s="28" t="s">
        <v>262</v>
      </c>
      <c r="C253" s="89" t="str">
        <f t="shared" ca="1" si="6"/>
        <v/>
      </c>
      <c r="D253" s="111" t="str">
        <f t="shared" ca="1" si="6"/>
        <v/>
      </c>
      <c r="E253" s="28" t="str">
        <f t="shared" ca="1" si="6"/>
        <v/>
      </c>
    </row>
    <row r="254" spans="1:5" x14ac:dyDescent="0.3">
      <c r="A254" s="110" t="s">
        <v>173</v>
      </c>
      <c r="B254" s="28" t="s">
        <v>263</v>
      </c>
      <c r="C254" s="89" t="str">
        <f t="shared" ca="1" si="6"/>
        <v/>
      </c>
      <c r="D254" s="111" t="str">
        <f t="shared" ca="1" si="6"/>
        <v/>
      </c>
      <c r="E254" s="28" t="str">
        <f t="shared" ca="1" si="6"/>
        <v/>
      </c>
    </row>
    <row r="255" spans="1:5" x14ac:dyDescent="0.3">
      <c r="A255" s="85" t="s">
        <v>137</v>
      </c>
      <c r="B255" s="73"/>
      <c r="C255" s="86"/>
      <c r="D255" s="87"/>
      <c r="E255" s="73"/>
    </row>
    <row r="256" spans="1:5" x14ac:dyDescent="0.3">
      <c r="A256" s="110" t="s">
        <v>174</v>
      </c>
      <c r="B256" s="28" t="s">
        <v>264</v>
      </c>
      <c r="C256" s="89" t="str">
        <f t="shared" ref="C256:E260" ca="1" si="7">IF(NOT(COUNTA(INDIRECT("'"&amp;$E$245&amp;"'!"&amp;"G10:G45"))),"",VLOOKUP($A256,INDIRECT("'"&amp;$E$245&amp;"'!"&amp;"F9:I45"),MATCH(C$246,INDIRECT("'"&amp;$E$245&amp;"'!"&amp;"F10:I10"),0), FALSE))</f>
        <v/>
      </c>
      <c r="D256" s="111" t="str">
        <f t="shared" ca="1" si="7"/>
        <v/>
      </c>
      <c r="E256" s="28" t="str">
        <f t="shared" ca="1" si="7"/>
        <v/>
      </c>
    </row>
    <row r="257" spans="1:5" x14ac:dyDescent="0.3">
      <c r="A257" s="110" t="s">
        <v>175</v>
      </c>
      <c r="B257" s="28" t="s">
        <v>265</v>
      </c>
      <c r="C257" s="89" t="str">
        <f t="shared" ca="1" si="7"/>
        <v/>
      </c>
      <c r="D257" s="111" t="str">
        <f t="shared" ca="1" si="7"/>
        <v/>
      </c>
      <c r="E257" s="28" t="str">
        <f t="shared" ca="1" si="7"/>
        <v/>
      </c>
    </row>
    <row r="258" spans="1:5" x14ac:dyDescent="0.3">
      <c r="A258" s="110" t="s">
        <v>176</v>
      </c>
      <c r="B258" s="28" t="s">
        <v>266</v>
      </c>
      <c r="C258" s="89" t="str">
        <f t="shared" ca="1" si="7"/>
        <v/>
      </c>
      <c r="D258" s="111" t="str">
        <f t="shared" ca="1" si="7"/>
        <v/>
      </c>
      <c r="E258" s="28" t="str">
        <f t="shared" ca="1" si="7"/>
        <v/>
      </c>
    </row>
    <row r="259" spans="1:5" x14ac:dyDescent="0.3">
      <c r="A259" s="110" t="s">
        <v>177</v>
      </c>
      <c r="B259" s="28" t="s">
        <v>267</v>
      </c>
      <c r="C259" s="89" t="str">
        <f t="shared" ca="1" si="7"/>
        <v/>
      </c>
      <c r="D259" s="111" t="str">
        <f t="shared" ca="1" si="7"/>
        <v/>
      </c>
      <c r="E259" s="28" t="str">
        <f t="shared" ca="1" si="7"/>
        <v/>
      </c>
    </row>
    <row r="260" spans="1:5" x14ac:dyDescent="0.3">
      <c r="A260" s="113" t="s">
        <v>178</v>
      </c>
      <c r="B260" s="114" t="s">
        <v>268</v>
      </c>
      <c r="C260" s="100" t="str">
        <f t="shared" ca="1" si="7"/>
        <v/>
      </c>
      <c r="D260" s="115" t="str">
        <f t="shared" ca="1" si="7"/>
        <v/>
      </c>
      <c r="E260" s="114" t="str">
        <f t="shared" ca="1" si="7"/>
        <v/>
      </c>
    </row>
    <row r="261" spans="1:5" ht="35.1" customHeight="1" x14ac:dyDescent="0.3">
      <c r="A261" s="335" t="s">
        <v>241</v>
      </c>
      <c r="B261" s="335"/>
      <c r="C261" s="335"/>
      <c r="D261" s="335"/>
      <c r="E261" s="335"/>
    </row>
    <row r="265" spans="1:5" x14ac:dyDescent="0.3">
      <c r="A265" s="79" t="s">
        <v>28</v>
      </c>
      <c r="B265" s="80"/>
      <c r="C265" s="81"/>
      <c r="D265" s="81"/>
      <c r="E265" s="82" t="s">
        <v>310</v>
      </c>
    </row>
    <row r="266" spans="1:5" x14ac:dyDescent="0.3">
      <c r="A266" s="85" t="s">
        <v>133</v>
      </c>
      <c r="B266" s="73"/>
      <c r="C266" s="86" t="s">
        <v>134</v>
      </c>
      <c r="D266" s="87" t="s">
        <v>135</v>
      </c>
      <c r="E266" s="87" t="s">
        <v>317</v>
      </c>
    </row>
    <row r="267" spans="1:5" x14ac:dyDescent="0.3">
      <c r="A267" s="88" t="s">
        <v>192</v>
      </c>
      <c r="B267" s="28" t="s">
        <v>258</v>
      </c>
      <c r="C267" s="89" t="str">
        <f t="shared" ref="C267:E272" ca="1" si="8">IFERROR(IF(NOT(COUNTA(INDIRECT("'"&amp;$E$265&amp;"'!"&amp;"G10:G45"))),"",VLOOKUP($A267,INDIRECT("'"&amp;$E$265&amp;"'!"&amp;"F9:I45"),MATCH(C$266,INDIRECT("'"&amp;$E$265&amp;"'!"&amp;"F10:I10"),0), FALSE)),"")</f>
        <v/>
      </c>
      <c r="D267" s="117" t="str">
        <f t="shared" ca="1" si="8"/>
        <v/>
      </c>
      <c r="E267" s="95" t="str">
        <f t="shared" ca="1" si="8"/>
        <v/>
      </c>
    </row>
    <row r="268" spans="1:5" x14ac:dyDescent="0.3">
      <c r="A268" s="88" t="s">
        <v>193</v>
      </c>
      <c r="B268" s="28" t="s">
        <v>269</v>
      </c>
      <c r="C268" s="92" t="str">
        <f t="shared" ca="1" si="8"/>
        <v/>
      </c>
      <c r="D268" s="117" t="str">
        <f t="shared" ca="1" si="8"/>
        <v/>
      </c>
      <c r="E268" s="95" t="str">
        <f t="shared" ca="1" si="8"/>
        <v/>
      </c>
    </row>
    <row r="269" spans="1:5" x14ac:dyDescent="0.3">
      <c r="A269" s="88" t="s">
        <v>194</v>
      </c>
      <c r="B269" s="28" t="s">
        <v>270</v>
      </c>
      <c r="C269" s="92" t="str">
        <f t="shared" ca="1" si="8"/>
        <v/>
      </c>
      <c r="D269" s="117" t="str">
        <f t="shared" ca="1" si="8"/>
        <v/>
      </c>
      <c r="E269" s="95" t="str">
        <f t="shared" ca="1" si="8"/>
        <v/>
      </c>
    </row>
    <row r="270" spans="1:5" x14ac:dyDescent="0.3">
      <c r="A270" s="88" t="s">
        <v>195</v>
      </c>
      <c r="B270" s="28" t="s">
        <v>262</v>
      </c>
      <c r="C270" s="92" t="str">
        <f t="shared" ca="1" si="8"/>
        <v/>
      </c>
      <c r="D270" s="117" t="str">
        <f t="shared" ca="1" si="8"/>
        <v/>
      </c>
      <c r="E270" s="95" t="str">
        <f t="shared" ca="1" si="8"/>
        <v/>
      </c>
    </row>
    <row r="271" spans="1:5" x14ac:dyDescent="0.3">
      <c r="A271" s="88" t="s">
        <v>196</v>
      </c>
      <c r="B271" s="28" t="s">
        <v>271</v>
      </c>
      <c r="C271" s="92" t="str">
        <f t="shared" ca="1" si="8"/>
        <v/>
      </c>
      <c r="D271" s="117" t="str">
        <f t="shared" ca="1" si="8"/>
        <v/>
      </c>
      <c r="E271" s="95" t="str">
        <f t="shared" ca="1" si="8"/>
        <v/>
      </c>
    </row>
    <row r="272" spans="1:5" x14ac:dyDescent="0.3">
      <c r="A272" s="88" t="s">
        <v>197</v>
      </c>
      <c r="B272" s="28" t="s">
        <v>272</v>
      </c>
      <c r="C272" s="92" t="str">
        <f t="shared" ca="1" si="8"/>
        <v/>
      </c>
      <c r="D272" s="117" t="str">
        <f t="shared" ca="1" si="8"/>
        <v/>
      </c>
      <c r="E272" s="95" t="str">
        <f t="shared" ca="1" si="8"/>
        <v/>
      </c>
    </row>
    <row r="273" spans="1:5" x14ac:dyDescent="0.3">
      <c r="A273" s="85" t="s">
        <v>137</v>
      </c>
      <c r="B273" s="73"/>
      <c r="C273" s="86"/>
      <c r="D273" s="87"/>
      <c r="E273" s="73"/>
    </row>
    <row r="274" spans="1:5" x14ac:dyDescent="0.3">
      <c r="A274" s="88" t="s">
        <v>198</v>
      </c>
      <c r="B274" s="28" t="s">
        <v>273</v>
      </c>
      <c r="C274" s="92" t="str">
        <f t="shared" ref="C274:E275" ca="1" si="9">IFERROR(IF(NOT(COUNTA(INDIRECT("'"&amp;$E$265&amp;"'!"&amp;"G10:G45"))),"",VLOOKUP($A274,INDIRECT("'"&amp;$E$265&amp;"'!"&amp;"F9:I45"),MATCH(C$266,INDIRECT("'"&amp;$E$265&amp;"'!"&amp;"F10:I10"),0), FALSE)),"")</f>
        <v/>
      </c>
      <c r="D274" s="117" t="str">
        <f t="shared" ca="1" si="9"/>
        <v/>
      </c>
      <c r="E274" s="95" t="str">
        <f t="shared" ca="1" si="9"/>
        <v/>
      </c>
    </row>
    <row r="275" spans="1:5" x14ac:dyDescent="0.3">
      <c r="A275" s="113" t="s">
        <v>199</v>
      </c>
      <c r="B275" s="114" t="s">
        <v>274</v>
      </c>
      <c r="C275" s="100" t="str">
        <f t="shared" ca="1" si="9"/>
        <v/>
      </c>
      <c r="D275" s="118" t="str">
        <f t="shared" ca="1" si="9"/>
        <v/>
      </c>
      <c r="E275" s="114" t="str">
        <f t="shared" ca="1" si="9"/>
        <v/>
      </c>
    </row>
    <row r="276" spans="1:5" ht="35.1" customHeight="1" x14ac:dyDescent="0.3">
      <c r="A276" s="335" t="s">
        <v>247</v>
      </c>
      <c r="B276" s="335"/>
      <c r="C276" s="335"/>
      <c r="D276" s="335"/>
      <c r="E276" s="335"/>
    </row>
    <row r="281" spans="1:5" x14ac:dyDescent="0.3">
      <c r="A281" s="79" t="s">
        <v>64</v>
      </c>
      <c r="B281" s="80"/>
      <c r="C281" s="81"/>
      <c r="D281" s="81"/>
      <c r="E281" s="82" t="s">
        <v>1593</v>
      </c>
    </row>
    <row r="282" spans="1:5" x14ac:dyDescent="0.3">
      <c r="A282" s="85" t="s">
        <v>133</v>
      </c>
      <c r="B282" s="73"/>
      <c r="C282" s="86" t="s">
        <v>134</v>
      </c>
      <c r="D282" s="87" t="s">
        <v>135</v>
      </c>
      <c r="E282" s="87" t="s">
        <v>317</v>
      </c>
    </row>
    <row r="283" spans="1:5" x14ac:dyDescent="0.3">
      <c r="A283" s="88" t="s">
        <v>192</v>
      </c>
      <c r="B283" s="28" t="s">
        <v>258</v>
      </c>
      <c r="C283" s="89" t="str">
        <f t="shared" ref="C283:E288" ca="1" si="10">IFERROR(IF(NOT(COUNTA(INDIRECT("'"&amp;$E$281&amp;"'!"&amp;"G10:G45"))),"",VLOOKUP($A283,INDIRECT("'"&amp;$E$281&amp;"'!"&amp;"F9:I45"),MATCH(C$282,INDIRECT("'"&amp;$E$281&amp;"'!"&amp;"F10:I10"),0), FALSE)),"")</f>
        <v/>
      </c>
      <c r="D283" s="117" t="str">
        <f t="shared" ca="1" si="10"/>
        <v/>
      </c>
      <c r="E283" s="95" t="str">
        <f t="shared" ca="1" si="10"/>
        <v/>
      </c>
    </row>
    <row r="284" spans="1:5" x14ac:dyDescent="0.3">
      <c r="A284" s="88" t="s">
        <v>193</v>
      </c>
      <c r="B284" s="28" t="s">
        <v>269</v>
      </c>
      <c r="C284" s="92" t="str">
        <f t="shared" ca="1" si="10"/>
        <v/>
      </c>
      <c r="D284" s="117" t="str">
        <f t="shared" ca="1" si="10"/>
        <v/>
      </c>
      <c r="E284" s="95" t="str">
        <f t="shared" ca="1" si="10"/>
        <v/>
      </c>
    </row>
    <row r="285" spans="1:5" x14ac:dyDescent="0.3">
      <c r="A285" s="88" t="s">
        <v>194</v>
      </c>
      <c r="B285" s="28" t="s">
        <v>270</v>
      </c>
      <c r="C285" s="92" t="str">
        <f t="shared" ca="1" si="10"/>
        <v/>
      </c>
      <c r="D285" s="117" t="str">
        <f t="shared" ca="1" si="10"/>
        <v/>
      </c>
      <c r="E285" s="95" t="str">
        <f t="shared" ca="1" si="10"/>
        <v/>
      </c>
    </row>
    <row r="286" spans="1:5" x14ac:dyDescent="0.3">
      <c r="A286" s="88" t="s">
        <v>195</v>
      </c>
      <c r="B286" s="28" t="s">
        <v>262</v>
      </c>
      <c r="C286" s="92" t="str">
        <f t="shared" ca="1" si="10"/>
        <v/>
      </c>
      <c r="D286" s="117" t="str">
        <f t="shared" ca="1" si="10"/>
        <v/>
      </c>
      <c r="E286" s="95" t="str">
        <f t="shared" ca="1" si="10"/>
        <v/>
      </c>
    </row>
    <row r="287" spans="1:5" x14ac:dyDescent="0.3">
      <c r="A287" s="88" t="s">
        <v>196</v>
      </c>
      <c r="B287" s="28" t="s">
        <v>271</v>
      </c>
      <c r="C287" s="92" t="str">
        <f t="shared" ca="1" si="10"/>
        <v/>
      </c>
      <c r="D287" s="117" t="str">
        <f t="shared" ca="1" si="10"/>
        <v/>
      </c>
      <c r="E287" s="95" t="str">
        <f t="shared" ca="1" si="10"/>
        <v/>
      </c>
    </row>
    <row r="288" spans="1:5" x14ac:dyDescent="0.3">
      <c r="A288" s="88" t="s">
        <v>197</v>
      </c>
      <c r="B288" s="28" t="s">
        <v>272</v>
      </c>
      <c r="C288" s="92" t="str">
        <f t="shared" ca="1" si="10"/>
        <v/>
      </c>
      <c r="D288" s="117" t="str">
        <f t="shared" ca="1" si="10"/>
        <v/>
      </c>
      <c r="E288" s="95" t="str">
        <f t="shared" ca="1" si="10"/>
        <v/>
      </c>
    </row>
    <row r="289" spans="1:5" x14ac:dyDescent="0.3">
      <c r="A289" s="85" t="s">
        <v>137</v>
      </c>
      <c r="B289" s="73"/>
      <c r="C289" s="86"/>
      <c r="D289" s="87"/>
      <c r="E289" s="73"/>
    </row>
    <row r="290" spans="1:5" x14ac:dyDescent="0.3">
      <c r="A290" s="88" t="s">
        <v>198</v>
      </c>
      <c r="B290" s="28" t="s">
        <v>273</v>
      </c>
      <c r="C290" s="92" t="str">
        <f t="shared" ref="C290:E291" ca="1" si="11">IFERROR(IF(NOT(COUNTA(INDIRECT("'"&amp;$E$281&amp;"'!"&amp;"G10:G45"))),"",VLOOKUP($A290,INDIRECT("'"&amp;$E$281&amp;"'!"&amp;"F9:I45"),MATCH(C$282,INDIRECT("'"&amp;$E$281&amp;"'!"&amp;"F10:I10"),0), FALSE)),"")</f>
        <v/>
      </c>
      <c r="D290" s="117" t="str">
        <f t="shared" ca="1" si="11"/>
        <v/>
      </c>
      <c r="E290" s="95" t="str">
        <f t="shared" ca="1" si="11"/>
        <v/>
      </c>
    </row>
    <row r="291" spans="1:5" x14ac:dyDescent="0.3">
      <c r="A291" s="113" t="s">
        <v>199</v>
      </c>
      <c r="B291" s="114" t="s">
        <v>274</v>
      </c>
      <c r="C291" s="100" t="str">
        <f t="shared" ca="1" si="11"/>
        <v/>
      </c>
      <c r="D291" s="118" t="str">
        <f t="shared" ca="1" si="11"/>
        <v/>
      </c>
      <c r="E291" s="114" t="str">
        <f t="shared" ca="1" si="11"/>
        <v/>
      </c>
    </row>
    <row r="292" spans="1:5" ht="35.1" customHeight="1" x14ac:dyDescent="0.3">
      <c r="A292" s="335" t="s">
        <v>247</v>
      </c>
      <c r="B292" s="335"/>
      <c r="C292" s="335"/>
      <c r="D292" s="335"/>
      <c r="E292" s="335"/>
    </row>
    <row r="297" spans="1:5" x14ac:dyDescent="0.3">
      <c r="A297" s="79" t="s">
        <v>29</v>
      </c>
      <c r="B297" s="80"/>
      <c r="C297" s="81"/>
      <c r="D297" s="81"/>
      <c r="E297" s="82" t="s">
        <v>126</v>
      </c>
    </row>
    <row r="298" spans="1:5" x14ac:dyDescent="0.3">
      <c r="A298" s="85" t="s">
        <v>133</v>
      </c>
      <c r="B298" s="73"/>
      <c r="C298" s="86" t="s">
        <v>134</v>
      </c>
      <c r="D298" s="87" t="s">
        <v>135</v>
      </c>
      <c r="E298" s="87" t="s">
        <v>317</v>
      </c>
    </row>
    <row r="299" spans="1:5" x14ac:dyDescent="0.3">
      <c r="A299" s="88" t="s">
        <v>208</v>
      </c>
      <c r="B299" s="28" t="s">
        <v>275</v>
      </c>
      <c r="C299" s="89" t="str">
        <f t="shared" ref="C299:E302" ca="1" si="12">IF(NOT(COUNTA(INDIRECT("'"&amp;$E$297&amp;"'!"&amp;"G10:G45"))),"",VLOOKUP($A299,INDIRECT("'"&amp;$E$297&amp;"'!"&amp;"F9:I45"),MATCH(C$298,INDIRECT("'"&amp;$E$297&amp;"'!"&amp;"F10:I10"),0), FALSE))</f>
        <v/>
      </c>
      <c r="D299" s="90" t="str">
        <f t="shared" ca="1" si="12"/>
        <v/>
      </c>
      <c r="E299" s="95" t="str">
        <f t="shared" ca="1" si="12"/>
        <v/>
      </c>
    </row>
    <row r="300" spans="1:5" x14ac:dyDescent="0.3">
      <c r="A300" s="88" t="s">
        <v>209</v>
      </c>
      <c r="B300" s="28" t="s">
        <v>267</v>
      </c>
      <c r="C300" s="92" t="str">
        <f t="shared" ca="1" si="12"/>
        <v/>
      </c>
      <c r="D300" s="90" t="str">
        <f t="shared" ca="1" si="12"/>
        <v/>
      </c>
      <c r="E300" s="95" t="str">
        <f t="shared" ca="1" si="12"/>
        <v/>
      </c>
    </row>
    <row r="301" spans="1:5" x14ac:dyDescent="0.3">
      <c r="A301" s="88" t="s">
        <v>210</v>
      </c>
      <c r="B301" s="28" t="s">
        <v>276</v>
      </c>
      <c r="C301" s="92" t="str">
        <f t="shared" ca="1" si="12"/>
        <v/>
      </c>
      <c r="D301" s="90" t="str">
        <f t="shared" ca="1" si="12"/>
        <v/>
      </c>
      <c r="E301" s="95" t="str">
        <f t="shared" ca="1" si="12"/>
        <v/>
      </c>
    </row>
    <row r="302" spans="1:5" x14ac:dyDescent="0.3">
      <c r="A302" s="88" t="s">
        <v>211</v>
      </c>
      <c r="B302" s="28" t="s">
        <v>276</v>
      </c>
      <c r="C302" s="92" t="str">
        <f t="shared" ca="1" si="12"/>
        <v/>
      </c>
      <c r="D302" s="90" t="str">
        <f t="shared" ca="1" si="12"/>
        <v/>
      </c>
      <c r="E302" s="95" t="str">
        <f t="shared" ca="1" si="12"/>
        <v/>
      </c>
    </row>
    <row r="303" spans="1:5" x14ac:dyDescent="0.3">
      <c r="A303" s="85" t="s">
        <v>137</v>
      </c>
      <c r="B303" s="73"/>
      <c r="C303" s="86"/>
      <c r="D303" s="87"/>
      <c r="E303" s="73"/>
    </row>
    <row r="304" spans="1:5" x14ac:dyDescent="0.3">
      <c r="A304" s="88" t="s">
        <v>212</v>
      </c>
      <c r="B304" s="28" t="s">
        <v>277</v>
      </c>
      <c r="C304" s="92" t="str">
        <f t="shared" ref="C304:E306" ca="1" si="13">IF(NOT(COUNTA(INDIRECT("'"&amp;$E$297&amp;"'!"&amp;"G10:G45"))),"",VLOOKUP($A304,INDIRECT("'"&amp;$E$297&amp;"'!"&amp;"F9:I45"),MATCH(C$298,INDIRECT("'"&amp;$E$297&amp;"'!"&amp;"F10:I10"),0), FALSE))</f>
        <v/>
      </c>
      <c r="D304" s="90" t="str">
        <f t="shared" ca="1" si="13"/>
        <v/>
      </c>
      <c r="E304" s="95" t="str">
        <f t="shared" ca="1" si="13"/>
        <v/>
      </c>
    </row>
    <row r="305" spans="1:5" x14ac:dyDescent="0.3">
      <c r="A305" s="88" t="s">
        <v>213</v>
      </c>
      <c r="B305" s="28" t="s">
        <v>278</v>
      </c>
      <c r="C305" s="92" t="str">
        <f t="shared" ca="1" si="13"/>
        <v/>
      </c>
      <c r="D305" s="90" t="str">
        <f t="shared" ca="1" si="13"/>
        <v/>
      </c>
      <c r="E305" s="95" t="str">
        <f t="shared" ca="1" si="13"/>
        <v/>
      </c>
    </row>
    <row r="306" spans="1:5" x14ac:dyDescent="0.3">
      <c r="A306" s="119" t="s">
        <v>165</v>
      </c>
      <c r="B306" s="120" t="s">
        <v>279</v>
      </c>
      <c r="C306" s="93" t="str">
        <f t="shared" ca="1" si="13"/>
        <v/>
      </c>
      <c r="D306" s="121" t="str">
        <f t="shared" ca="1" si="13"/>
        <v/>
      </c>
      <c r="E306" s="122" t="str">
        <f t="shared" ca="1" si="13"/>
        <v/>
      </c>
    </row>
    <row r="307" spans="1:5" x14ac:dyDescent="0.3">
      <c r="A307" s="335" t="s">
        <v>248</v>
      </c>
      <c r="B307" s="335"/>
      <c r="C307" s="335"/>
      <c r="D307" s="335"/>
      <c r="E307" s="335"/>
    </row>
    <row r="313" spans="1:5" x14ac:dyDescent="0.3">
      <c r="A313" s="79" t="s">
        <v>318</v>
      </c>
      <c r="B313" s="80"/>
      <c r="C313" s="81"/>
      <c r="D313" s="81"/>
      <c r="E313" s="82" t="s">
        <v>361</v>
      </c>
    </row>
    <row r="314" spans="1:5" x14ac:dyDescent="0.3">
      <c r="A314" s="85" t="s">
        <v>133</v>
      </c>
      <c r="B314" s="73"/>
      <c r="C314" s="86" t="s">
        <v>134</v>
      </c>
      <c r="D314" s="87" t="s">
        <v>135</v>
      </c>
      <c r="E314" s="87" t="s">
        <v>317</v>
      </c>
    </row>
    <row r="315" spans="1:5" x14ac:dyDescent="0.3">
      <c r="A315" s="88" t="s">
        <v>320</v>
      </c>
      <c r="B315" s="28" t="s">
        <v>414</v>
      </c>
      <c r="C315" s="89" t="str">
        <f t="shared" ref="C315:E316" ca="1" si="14">IF(NOT(COUNTA(INDIRECT("'"&amp;$E$313&amp;"'!"&amp;"G10:G45"))),"",VLOOKUP($A315,INDIRECT("'"&amp;$E$313&amp;"'!"&amp;"F9:I45"),MATCH(C$314,INDIRECT("'"&amp;$E$313&amp;"'!"&amp;"F10:I10"),0), FALSE))</f>
        <v/>
      </c>
      <c r="D315" s="90" t="str">
        <f t="shared" ca="1" si="14"/>
        <v/>
      </c>
      <c r="E315" s="95" t="str">
        <f t="shared" ca="1" si="14"/>
        <v/>
      </c>
    </row>
    <row r="316" spans="1:5" x14ac:dyDescent="0.3">
      <c r="A316" s="88" t="s">
        <v>321</v>
      </c>
      <c r="B316" s="28" t="s">
        <v>415</v>
      </c>
      <c r="C316" s="93" t="str">
        <f t="shared" ca="1" si="14"/>
        <v/>
      </c>
      <c r="D316" s="90" t="str">
        <f t="shared" ca="1" si="14"/>
        <v/>
      </c>
      <c r="E316" s="95" t="str">
        <f t="shared" ca="1" si="14"/>
        <v/>
      </c>
    </row>
    <row r="317" spans="1:5" x14ac:dyDescent="0.3">
      <c r="A317" s="335" t="s">
        <v>798</v>
      </c>
      <c r="B317" s="335"/>
      <c r="C317" s="335"/>
      <c r="D317" s="335"/>
      <c r="E317" s="335"/>
    </row>
    <row r="329" spans="1:5" x14ac:dyDescent="0.3">
      <c r="A329" s="79" t="s">
        <v>1182</v>
      </c>
      <c r="B329" s="80"/>
      <c r="C329" s="81"/>
      <c r="D329" s="81"/>
      <c r="E329" s="82" t="s">
        <v>1187</v>
      </c>
    </row>
    <row r="330" spans="1:5" x14ac:dyDescent="0.3">
      <c r="A330" s="85" t="s">
        <v>133</v>
      </c>
      <c r="B330" s="73"/>
      <c r="C330" s="86" t="s">
        <v>134</v>
      </c>
      <c r="D330" s="87" t="s">
        <v>135</v>
      </c>
      <c r="E330" s="87" t="s">
        <v>317</v>
      </c>
    </row>
    <row r="331" spans="1:5" x14ac:dyDescent="0.3">
      <c r="A331" s="88" t="s">
        <v>1312</v>
      </c>
      <c r="C331" s="123" t="str">
        <f t="shared" ref="C331:E340" ca="1" si="15">IF(NOT(COUNTA(INDIRECT("'"&amp;$E$329&amp;"'!"&amp;"G10:G45"))),"",VLOOKUP($A331,INDIRECT("'"&amp;$E$329&amp;"'!"&amp;"F9:I45"),MATCH(C$330,INDIRECT("'"&amp;$E$329&amp;"'!"&amp;"F10:I10"),0), FALSE))</f>
        <v/>
      </c>
      <c r="D331" s="90" t="str">
        <f t="shared" ca="1" si="15"/>
        <v/>
      </c>
      <c r="E331" s="95" t="str">
        <f t="shared" ca="1" si="15"/>
        <v/>
      </c>
    </row>
    <row r="332" spans="1:5" x14ac:dyDescent="0.3">
      <c r="A332" s="88" t="s">
        <v>1313</v>
      </c>
      <c r="C332" s="104" t="str">
        <f t="shared" ca="1" si="15"/>
        <v/>
      </c>
      <c r="D332" s="90" t="str">
        <f t="shared" ca="1" si="15"/>
        <v/>
      </c>
      <c r="E332" s="95" t="str">
        <f t="shared" ca="1" si="15"/>
        <v/>
      </c>
    </row>
    <row r="333" spans="1:5" x14ac:dyDescent="0.3">
      <c r="A333" s="88" t="s">
        <v>1314</v>
      </c>
      <c r="C333" s="104" t="str">
        <f t="shared" ca="1" si="15"/>
        <v/>
      </c>
      <c r="D333" s="90" t="str">
        <f t="shared" ca="1" si="15"/>
        <v/>
      </c>
      <c r="E333" s="95" t="str">
        <f t="shared" ca="1" si="15"/>
        <v/>
      </c>
    </row>
    <row r="334" spans="1:5" x14ac:dyDescent="0.3">
      <c r="A334" s="88" t="s">
        <v>1315</v>
      </c>
      <c r="C334" s="104" t="str">
        <f t="shared" ca="1" si="15"/>
        <v/>
      </c>
      <c r="D334" s="90" t="str">
        <f t="shared" ca="1" si="15"/>
        <v/>
      </c>
      <c r="E334" s="95" t="str">
        <f t="shared" ca="1" si="15"/>
        <v/>
      </c>
    </row>
    <row r="335" spans="1:5" x14ac:dyDescent="0.3">
      <c r="A335" s="88" t="s">
        <v>1316</v>
      </c>
      <c r="C335" s="104" t="str">
        <f t="shared" ca="1" si="15"/>
        <v/>
      </c>
      <c r="D335" s="90" t="str">
        <f t="shared" ca="1" si="15"/>
        <v/>
      </c>
      <c r="E335" s="95" t="str">
        <f t="shared" ca="1" si="15"/>
        <v/>
      </c>
    </row>
    <row r="336" spans="1:5" x14ac:dyDescent="0.3">
      <c r="A336" s="88" t="s">
        <v>1317</v>
      </c>
      <c r="C336" s="104" t="str">
        <f t="shared" ca="1" si="15"/>
        <v/>
      </c>
      <c r="D336" s="90" t="str">
        <f t="shared" ca="1" si="15"/>
        <v/>
      </c>
      <c r="E336" s="95" t="str">
        <f t="shared" ca="1" si="15"/>
        <v/>
      </c>
    </row>
    <row r="337" spans="1:5" x14ac:dyDescent="0.3">
      <c r="A337" s="88" t="s">
        <v>1318</v>
      </c>
      <c r="C337" s="104" t="str">
        <f t="shared" ca="1" si="15"/>
        <v/>
      </c>
      <c r="D337" s="90" t="str">
        <f t="shared" ca="1" si="15"/>
        <v/>
      </c>
      <c r="E337" s="95" t="str">
        <f t="shared" ca="1" si="15"/>
        <v/>
      </c>
    </row>
    <row r="338" spans="1:5" x14ac:dyDescent="0.3">
      <c r="A338" s="88" t="s">
        <v>1319</v>
      </c>
      <c r="C338" s="104" t="str">
        <f t="shared" ca="1" si="15"/>
        <v/>
      </c>
      <c r="D338" s="90" t="str">
        <f t="shared" ca="1" si="15"/>
        <v/>
      </c>
      <c r="E338" s="95" t="str">
        <f t="shared" ca="1" si="15"/>
        <v/>
      </c>
    </row>
    <row r="339" spans="1:5" x14ac:dyDescent="0.3">
      <c r="A339" s="88" t="s">
        <v>1320</v>
      </c>
      <c r="C339" s="104" t="str">
        <f t="shared" ca="1" si="15"/>
        <v/>
      </c>
      <c r="D339" s="90" t="str">
        <f t="shared" ca="1" si="15"/>
        <v/>
      </c>
      <c r="E339" s="95" t="str">
        <f t="shared" ca="1" si="15"/>
        <v/>
      </c>
    </row>
    <row r="340" spans="1:5" x14ac:dyDescent="0.3">
      <c r="A340" s="88" t="s">
        <v>321</v>
      </c>
      <c r="C340" s="108" t="str">
        <f t="shared" ca="1" si="15"/>
        <v/>
      </c>
      <c r="D340" s="90" t="str">
        <f t="shared" ca="1" si="15"/>
        <v/>
      </c>
      <c r="E340" s="95" t="str">
        <f t="shared" ca="1" si="15"/>
        <v/>
      </c>
    </row>
    <row r="341" spans="1:5" x14ac:dyDescent="0.3">
      <c r="A341" s="335" t="s">
        <v>798</v>
      </c>
      <c r="B341" s="335"/>
      <c r="C341" s="335"/>
      <c r="D341" s="335"/>
      <c r="E341" s="335"/>
    </row>
    <row r="345" spans="1:5" x14ac:dyDescent="0.3">
      <c r="A345" s="79" t="s">
        <v>859</v>
      </c>
      <c r="B345" s="80"/>
      <c r="C345" s="81"/>
      <c r="D345" s="81"/>
      <c r="E345" s="82" t="s">
        <v>867</v>
      </c>
    </row>
    <row r="346" spans="1:5" x14ac:dyDescent="0.3">
      <c r="A346" s="85" t="s">
        <v>133</v>
      </c>
      <c r="B346" s="73"/>
      <c r="C346" s="86" t="s">
        <v>134</v>
      </c>
      <c r="D346" s="87" t="s">
        <v>135</v>
      </c>
      <c r="E346" s="87" t="s">
        <v>317</v>
      </c>
    </row>
    <row r="347" spans="1:5" x14ac:dyDescent="0.3">
      <c r="A347" s="88" t="s">
        <v>1633</v>
      </c>
      <c r="B347" s="28" t="s">
        <v>871</v>
      </c>
      <c r="C347" s="89" t="str">
        <f t="shared" ref="C347:E350" ca="1" si="16">IF(NOT(COUNTA(INDIRECT("'"&amp;$E$345&amp;"'!"&amp;"G10:G45"))),"",VLOOKUP($A347,INDIRECT("'"&amp;$E$345&amp;"'!"&amp;"F9:I45"),MATCH(C$346,INDIRECT("'"&amp;$E$345&amp;"'!"&amp;"F10:I10"),0), FALSE))</f>
        <v/>
      </c>
      <c r="D347" s="90" t="str">
        <f t="shared" ca="1" si="16"/>
        <v/>
      </c>
      <c r="E347" s="95" t="str">
        <f t="shared" ca="1" si="16"/>
        <v/>
      </c>
    </row>
    <row r="348" spans="1:5" x14ac:dyDescent="0.3">
      <c r="A348" s="88" t="s">
        <v>1634</v>
      </c>
      <c r="B348" s="28" t="s">
        <v>872</v>
      </c>
      <c r="C348" s="92" t="str">
        <f t="shared" ca="1" si="16"/>
        <v/>
      </c>
      <c r="D348" s="90" t="str">
        <f t="shared" ca="1" si="16"/>
        <v/>
      </c>
      <c r="E348" s="95" t="str">
        <f t="shared" ca="1" si="16"/>
        <v/>
      </c>
    </row>
    <row r="349" spans="1:5" x14ac:dyDescent="0.3">
      <c r="A349" s="88" t="s">
        <v>1635</v>
      </c>
      <c r="B349" s="28" t="s">
        <v>873</v>
      </c>
      <c r="C349" s="92" t="str">
        <f t="shared" ca="1" si="16"/>
        <v/>
      </c>
      <c r="D349" s="90" t="str">
        <f t="shared" ca="1" si="16"/>
        <v/>
      </c>
      <c r="E349" s="95" t="str">
        <f t="shared" ca="1" si="16"/>
        <v/>
      </c>
    </row>
    <row r="350" spans="1:5" x14ac:dyDescent="0.3">
      <c r="A350" s="88" t="s">
        <v>1636</v>
      </c>
      <c r="B350" s="28" t="s">
        <v>870</v>
      </c>
      <c r="C350" s="92" t="str">
        <f t="shared" ca="1" si="16"/>
        <v/>
      </c>
      <c r="D350" s="90" t="str">
        <f t="shared" ca="1" si="16"/>
        <v/>
      </c>
      <c r="E350" s="95" t="str">
        <f t="shared" ca="1" si="16"/>
        <v/>
      </c>
    </row>
    <row r="351" spans="1:5" x14ac:dyDescent="0.3">
      <c r="A351" s="73" t="s">
        <v>137</v>
      </c>
      <c r="B351" s="73"/>
      <c r="C351" s="86"/>
      <c r="D351" s="87"/>
      <c r="E351" s="73"/>
    </row>
    <row r="352" spans="1:5" x14ac:dyDescent="0.3">
      <c r="A352" s="88" t="s">
        <v>1637</v>
      </c>
      <c r="B352" s="28" t="s">
        <v>868</v>
      </c>
      <c r="C352" s="92" t="str">
        <f t="shared" ref="C352:E354" ca="1" si="17">IF(NOT(COUNTA(INDIRECT("'"&amp;$E$345&amp;"'!"&amp;"G10:G45"))),"",VLOOKUP($A352,INDIRECT("'"&amp;$E$345&amp;"'!"&amp;"F9:I45"),MATCH(C$346,INDIRECT("'"&amp;$E$345&amp;"'!"&amp;"F10:I10"),0), FALSE))</f>
        <v/>
      </c>
      <c r="D352" s="90" t="str">
        <f t="shared" ca="1" si="17"/>
        <v/>
      </c>
      <c r="E352" s="95" t="str">
        <f t="shared" ca="1" si="17"/>
        <v/>
      </c>
    </row>
    <row r="353" spans="1:18" x14ac:dyDescent="0.3">
      <c r="A353" s="88" t="s">
        <v>1638</v>
      </c>
      <c r="B353" s="28" t="s">
        <v>869</v>
      </c>
      <c r="C353" s="92" t="str">
        <f t="shared" ca="1" si="17"/>
        <v/>
      </c>
      <c r="D353" s="90" t="str">
        <f t="shared" ca="1" si="17"/>
        <v/>
      </c>
      <c r="E353" s="95" t="str">
        <f t="shared" ca="1" si="17"/>
        <v/>
      </c>
    </row>
    <row r="354" spans="1:18" x14ac:dyDescent="0.3">
      <c r="A354" s="119" t="s">
        <v>165</v>
      </c>
      <c r="B354" s="120" t="s">
        <v>279</v>
      </c>
      <c r="C354" s="93" t="str">
        <f t="shared" ca="1" si="17"/>
        <v/>
      </c>
      <c r="D354" s="121" t="str">
        <f t="shared" ca="1" si="17"/>
        <v/>
      </c>
      <c r="E354" s="122" t="str">
        <f t="shared" ca="1" si="17"/>
        <v/>
      </c>
    </row>
    <row r="355" spans="1:18" x14ac:dyDescent="0.3">
      <c r="A355" s="335" t="s">
        <v>905</v>
      </c>
      <c r="B355" s="335"/>
      <c r="C355" s="335"/>
      <c r="D355" s="335"/>
      <c r="E355" s="335"/>
    </row>
    <row r="361" spans="1:18" ht="21" x14ac:dyDescent="0.35">
      <c r="A361" s="72" t="s">
        <v>1446</v>
      </c>
      <c r="B361" s="73"/>
      <c r="C361" s="73"/>
      <c r="D361" s="73"/>
      <c r="E361" s="73"/>
      <c r="F361" s="73"/>
      <c r="G361" s="73"/>
      <c r="H361" s="73"/>
      <c r="I361" s="73"/>
      <c r="J361" s="73"/>
      <c r="K361" s="73"/>
      <c r="L361" s="73"/>
      <c r="M361" s="73"/>
      <c r="N361" s="73"/>
      <c r="O361" s="73"/>
      <c r="P361" s="73"/>
    </row>
    <row r="362" spans="1:18" x14ac:dyDescent="0.3">
      <c r="H362" s="101"/>
    </row>
    <row r="363" spans="1:18" x14ac:dyDescent="0.3">
      <c r="A363" s="79" t="s">
        <v>945</v>
      </c>
      <c r="B363" s="80"/>
      <c r="C363" s="81"/>
      <c r="D363" s="81"/>
      <c r="E363" s="82" t="s">
        <v>1004</v>
      </c>
      <c r="R363" s="102"/>
    </row>
    <row r="364" spans="1:18" x14ac:dyDescent="0.3">
      <c r="A364" s="85" t="s">
        <v>1242</v>
      </c>
      <c r="B364" s="73"/>
      <c r="C364" s="86" t="s">
        <v>134</v>
      </c>
      <c r="D364" s="87" t="s">
        <v>135</v>
      </c>
      <c r="E364" s="87" t="s">
        <v>317</v>
      </c>
      <c r="R364" s="102"/>
    </row>
    <row r="365" spans="1:18" x14ac:dyDescent="0.3">
      <c r="A365" s="95" t="s">
        <v>1023</v>
      </c>
      <c r="C365" s="100" t="str">
        <f ca="1">IF(NOT(COUNTA(INDIRECT("'"&amp;$E$363&amp;"'!"&amp;"G10:G45"))),"",VLOOKUP($A365,INDIRECT("'"&amp;$E$363&amp;"'!"&amp;"F9:I45"),MATCH(C$364,INDIRECT("'"&amp;$E$363&amp;"'!"&amp;"F10:I10"),0), FALSE))</f>
        <v/>
      </c>
      <c r="D365" s="90" t="str">
        <f ca="1">IF(NOT(COUNTA(INDIRECT("'"&amp;$E$363&amp;"'!"&amp;"G10:G45"))),"",VLOOKUP($A365,INDIRECT("'"&amp;$E$363&amp;"'!"&amp;"F9:I45"),MATCH(D$364,INDIRECT("'"&amp;$E$363&amp;"'!"&amp;"F10:I10"),0), FALSE))</f>
        <v>NA</v>
      </c>
      <c r="E365" s="95" t="str">
        <f ca="1">IF(NOT(COUNTA(INDIRECT("'"&amp;$E$363&amp;"'!"&amp;"G10:G45"))),"",VLOOKUP($A365,INDIRECT("'"&amp;$E$363&amp;"'!"&amp;"F9:I45"),MATCH(E$364,INDIRECT("'"&amp;$E$363&amp;"'!"&amp;"F10:I10"),0), FALSE))</f>
        <v/>
      </c>
      <c r="R365" s="102"/>
    </row>
    <row r="366" spans="1:18" x14ac:dyDescent="0.3">
      <c r="A366" s="336" t="s">
        <v>1113</v>
      </c>
      <c r="B366" s="337"/>
      <c r="C366" s="337"/>
      <c r="D366" s="337"/>
      <c r="E366" s="337"/>
      <c r="R366" s="102"/>
    </row>
    <row r="367" spans="1:18" x14ac:dyDescent="0.3">
      <c r="R367" s="102"/>
    </row>
    <row r="368" spans="1:18" x14ac:dyDescent="0.3">
      <c r="R368" s="102"/>
    </row>
    <row r="369" spans="1:18" x14ac:dyDescent="0.3">
      <c r="R369" s="102"/>
    </row>
    <row r="379" spans="1:18" x14ac:dyDescent="0.3">
      <c r="A379" s="79" t="s">
        <v>1122</v>
      </c>
      <c r="B379" s="80"/>
      <c r="C379" s="81"/>
      <c r="D379" s="81"/>
      <c r="E379" s="82" t="s">
        <v>1002</v>
      </c>
    </row>
    <row r="380" spans="1:18" x14ac:dyDescent="0.3">
      <c r="A380" s="85" t="s">
        <v>133</v>
      </c>
      <c r="B380" s="73"/>
      <c r="C380" s="86" t="s">
        <v>134</v>
      </c>
      <c r="D380" s="87" t="s">
        <v>135</v>
      </c>
      <c r="E380" s="87" t="s">
        <v>317</v>
      </c>
    </row>
    <row r="381" spans="1:18" x14ac:dyDescent="0.3">
      <c r="A381" s="88" t="s">
        <v>947</v>
      </c>
      <c r="B381" s="103" t="s">
        <v>947</v>
      </c>
      <c r="C381" s="89" t="str">
        <f t="shared" ref="C381:E385" ca="1" si="18">IF(NOT(COUNTA(INDIRECT("'"&amp;$E$379&amp;"'!"&amp;"G10:G45"))),"",VLOOKUP($A381,INDIRECT("'"&amp;$E$379&amp;"'!"&amp;"F9:I45"),MATCH(C$380,INDIRECT("'"&amp;$E$379&amp;"'!"&amp;"F10:I10"),0), FALSE))</f>
        <v/>
      </c>
      <c r="D381" s="90" t="str">
        <f t="shared" ca="1" si="18"/>
        <v>NA</v>
      </c>
      <c r="E381" s="95" t="str">
        <f t="shared" ca="1" si="18"/>
        <v>Not available</v>
      </c>
    </row>
    <row r="382" spans="1:18" x14ac:dyDescent="0.3">
      <c r="A382" s="88" t="s">
        <v>948</v>
      </c>
      <c r="B382" s="103" t="s">
        <v>948</v>
      </c>
      <c r="C382" s="92" t="str">
        <f t="shared" ca="1" si="18"/>
        <v/>
      </c>
      <c r="D382" s="90" t="str">
        <f t="shared" ca="1" si="18"/>
        <v>NA</v>
      </c>
      <c r="E382" s="95" t="str">
        <f t="shared" ca="1" si="18"/>
        <v>Not available</v>
      </c>
    </row>
    <row r="383" spans="1:18" x14ac:dyDescent="0.3">
      <c r="A383" s="88" t="s">
        <v>949</v>
      </c>
      <c r="B383" s="103" t="s">
        <v>949</v>
      </c>
      <c r="C383" s="92" t="str">
        <f t="shared" ca="1" si="18"/>
        <v/>
      </c>
      <c r="D383" s="90" t="str">
        <f t="shared" ca="1" si="18"/>
        <v>NA</v>
      </c>
      <c r="E383" s="95" t="str">
        <f t="shared" ca="1" si="18"/>
        <v>Not available</v>
      </c>
    </row>
    <row r="384" spans="1:18" x14ac:dyDescent="0.3">
      <c r="A384" s="88" t="s">
        <v>950</v>
      </c>
      <c r="B384" s="103" t="s">
        <v>950</v>
      </c>
      <c r="C384" s="92" t="str">
        <f t="shared" ca="1" si="18"/>
        <v/>
      </c>
      <c r="D384" s="90" t="str">
        <f t="shared" ca="1" si="18"/>
        <v>NA</v>
      </c>
      <c r="E384" s="95" t="str">
        <f t="shared" ca="1" si="18"/>
        <v>Not available</v>
      </c>
    </row>
    <row r="385" spans="1:18" x14ac:dyDescent="0.3">
      <c r="A385" s="88" t="s">
        <v>1158</v>
      </c>
      <c r="B385" s="103" t="s">
        <v>1158</v>
      </c>
      <c r="C385" s="92" t="str">
        <f t="shared" ca="1" si="18"/>
        <v/>
      </c>
      <c r="D385" s="90" t="str">
        <f t="shared" ca="1" si="18"/>
        <v>NA</v>
      </c>
      <c r="E385" s="95" t="str">
        <f t="shared" ca="1" si="18"/>
        <v>Not available</v>
      </c>
    </row>
    <row r="386" spans="1:18" x14ac:dyDescent="0.3">
      <c r="A386" s="73" t="s">
        <v>1003</v>
      </c>
      <c r="B386" s="105"/>
      <c r="C386" s="86"/>
      <c r="D386" s="87"/>
      <c r="E386" s="73"/>
    </row>
    <row r="387" spans="1:18" x14ac:dyDescent="0.3">
      <c r="A387" s="119" t="s">
        <v>165</v>
      </c>
      <c r="B387" s="124" t="s">
        <v>165</v>
      </c>
      <c r="C387" s="93" t="str">
        <f ca="1">IF(NOT(COUNTA(INDIRECT("'"&amp;$E$379&amp;"'!"&amp;"G10:G45"))),"",VLOOKUP($A387,INDIRECT("'"&amp;$E$379&amp;"'!"&amp;"F9:I45"),MATCH(C$380,INDIRECT("'"&amp;$E$379&amp;"'!"&amp;"F10:I10"),0), FALSE))</f>
        <v/>
      </c>
      <c r="D387" s="121" t="str">
        <f ca="1">IF(NOT(COUNTA(INDIRECT("'"&amp;$E$379&amp;"'!"&amp;"G10:G45"))),"",VLOOKUP($A387,INDIRECT("'"&amp;$E$379&amp;"'!"&amp;"F9:I45"),MATCH(D$380,INDIRECT("'"&amp;$E$379&amp;"'!"&amp;"F10:I10"),0), FALSE))</f>
        <v>NA</v>
      </c>
      <c r="E387" s="122" t="str">
        <f ca="1">IF(NOT(COUNTA(INDIRECT("'"&amp;$E$379&amp;"'!"&amp;"G10:G45"))),"",VLOOKUP($A387,INDIRECT("'"&amp;$E$379&amp;"'!"&amp;"F9:I45"),MATCH(E$380,INDIRECT("'"&amp;$E$379&amp;"'!"&amp;"F10:I10"),0), FALSE))</f>
        <v/>
      </c>
    </row>
    <row r="388" spans="1:18" x14ac:dyDescent="0.3">
      <c r="A388" s="336" t="s">
        <v>1114</v>
      </c>
      <c r="B388" s="336"/>
      <c r="C388" s="336"/>
      <c r="D388" s="336"/>
      <c r="E388" s="336"/>
    </row>
    <row r="395" spans="1:18" x14ac:dyDescent="0.3">
      <c r="H395" s="101"/>
    </row>
    <row r="396" spans="1:18" x14ac:dyDescent="0.3">
      <c r="A396" s="79" t="s">
        <v>1123</v>
      </c>
      <c r="B396" s="80"/>
      <c r="C396" s="81"/>
      <c r="D396" s="81"/>
      <c r="E396" s="82" t="s">
        <v>932</v>
      </c>
      <c r="R396" s="102"/>
    </row>
    <row r="397" spans="1:18" x14ac:dyDescent="0.3">
      <c r="A397" s="85" t="s">
        <v>138</v>
      </c>
      <c r="B397" s="73"/>
      <c r="C397" s="86" t="s">
        <v>134</v>
      </c>
      <c r="D397" s="87" t="s">
        <v>135</v>
      </c>
      <c r="E397" s="87" t="s">
        <v>317</v>
      </c>
      <c r="R397" s="102"/>
    </row>
    <row r="398" spans="1:18" x14ac:dyDescent="0.3">
      <c r="A398" s="95" t="s">
        <v>279</v>
      </c>
      <c r="C398" s="100" t="str">
        <f ca="1">IF(NOT(COUNTA(INDIRECT("'"&amp;$E$396&amp;"'!"&amp;"G10:G45"))),"",VLOOKUP($A398,INDIRECT("'"&amp;$E$396&amp;"'!"&amp;"F9:I45"),MATCH(C$397,INDIRECT("'"&amp;$E$396&amp;"'!"&amp;"F10:I10"),0), FALSE))</f>
        <v/>
      </c>
      <c r="D398" s="90" t="str">
        <f ca="1">IF(NOT(COUNTA(INDIRECT("'"&amp;$E$396&amp;"'!"&amp;"G10:G45"))),"",VLOOKUP($A398,INDIRECT("'"&amp;$E$396&amp;"'!"&amp;"F9:I45"),MATCH(D$397,INDIRECT("'"&amp;$E$396&amp;"'!"&amp;"F10:I10"),0), FALSE))</f>
        <v>NA</v>
      </c>
      <c r="E398" s="95" t="str">
        <f ca="1">IF(NOT(COUNTA(INDIRECT("'"&amp;$E$396&amp;"'!"&amp;"G10:G45"))),"",VLOOKUP($A398,INDIRECT("'"&amp;$E$396&amp;"'!"&amp;"F9:I45"),MATCH(E$397,INDIRECT("'"&amp;$E$396&amp;"'!"&amp;"F10:I10"),0), FALSE))</f>
        <v/>
      </c>
      <c r="R398" s="102"/>
    </row>
    <row r="399" spans="1:18" x14ac:dyDescent="0.3">
      <c r="A399" s="336" t="s">
        <v>1114</v>
      </c>
      <c r="B399" s="336"/>
      <c r="C399" s="336"/>
      <c r="D399" s="336"/>
      <c r="E399" s="336"/>
      <c r="R399" s="102"/>
    </row>
    <row r="400" spans="1:18" x14ac:dyDescent="0.3">
      <c r="R400" s="102"/>
    </row>
    <row r="401" spans="1:18" x14ac:dyDescent="0.3">
      <c r="R401" s="102"/>
    </row>
    <row r="402" spans="1:18" x14ac:dyDescent="0.3">
      <c r="R402" s="102"/>
    </row>
    <row r="412" spans="1:18" x14ac:dyDescent="0.3">
      <c r="A412" s="79" t="s">
        <v>946</v>
      </c>
      <c r="B412" s="80"/>
      <c r="C412" s="81"/>
      <c r="D412" s="81"/>
      <c r="E412" s="82" t="s">
        <v>1069</v>
      </c>
    </row>
    <row r="413" spans="1:18" x14ac:dyDescent="0.3">
      <c r="A413" s="85" t="s">
        <v>133</v>
      </c>
      <c r="B413" s="73"/>
      <c r="C413" s="86" t="s">
        <v>134</v>
      </c>
      <c r="D413" s="87" t="s">
        <v>135</v>
      </c>
      <c r="E413" s="87" t="s">
        <v>317</v>
      </c>
    </row>
    <row r="414" spans="1:18" x14ac:dyDescent="0.3">
      <c r="A414" s="88" t="s">
        <v>1642</v>
      </c>
      <c r="B414" s="103" t="s">
        <v>1642</v>
      </c>
      <c r="C414" s="89" t="str">
        <f t="shared" ref="C414:E419" ca="1" si="19">IF(NOT(COUNTA(INDIRECT("'"&amp;$E$412&amp;"'!"&amp;"G10:G45"))),"",VLOOKUP($A414,INDIRECT("'"&amp;$E$412&amp;"'!"&amp;"F9:I45"),MATCH(C$413,INDIRECT("'"&amp;$E$412&amp;"'!"&amp;"F10:I10"),0), FALSE))</f>
        <v/>
      </c>
      <c r="D414" s="90" t="str">
        <f t="shared" ca="1" si="19"/>
        <v>NA</v>
      </c>
      <c r="E414" s="95" t="str">
        <f t="shared" ca="1" si="19"/>
        <v>Not available</v>
      </c>
    </row>
    <row r="415" spans="1:18" x14ac:dyDescent="0.3">
      <c r="A415" s="88" t="s">
        <v>950</v>
      </c>
      <c r="B415" s="103" t="s">
        <v>950</v>
      </c>
      <c r="C415" s="92" t="str">
        <f t="shared" ca="1" si="19"/>
        <v/>
      </c>
      <c r="D415" s="90" t="str">
        <f t="shared" ca="1" si="19"/>
        <v>NA</v>
      </c>
      <c r="E415" s="95" t="str">
        <f t="shared" ca="1" si="19"/>
        <v>Not available</v>
      </c>
    </row>
    <row r="416" spans="1:18" x14ac:dyDescent="0.3">
      <c r="A416" s="88" t="s">
        <v>1643</v>
      </c>
      <c r="B416" s="103" t="s">
        <v>1643</v>
      </c>
      <c r="C416" s="92" t="str">
        <f t="shared" ca="1" si="19"/>
        <v/>
      </c>
      <c r="D416" s="90" t="str">
        <f t="shared" ca="1" si="19"/>
        <v>NA</v>
      </c>
      <c r="E416" s="95" t="str">
        <f t="shared" ca="1" si="19"/>
        <v>Not available</v>
      </c>
    </row>
    <row r="417" spans="1:16" x14ac:dyDescent="0.3">
      <c r="A417" s="88" t="s">
        <v>1644</v>
      </c>
      <c r="B417" s="103" t="s">
        <v>1644</v>
      </c>
      <c r="C417" s="92" t="str">
        <f t="shared" ca="1" si="19"/>
        <v/>
      </c>
      <c r="D417" s="90" t="str">
        <f t="shared" ca="1" si="19"/>
        <v>NA</v>
      </c>
      <c r="E417" s="95" t="str">
        <f t="shared" ca="1" si="19"/>
        <v>Not available</v>
      </c>
    </row>
    <row r="418" spans="1:16" x14ac:dyDescent="0.3">
      <c r="A418" s="88" t="s">
        <v>1645</v>
      </c>
      <c r="B418" s="103" t="s">
        <v>1645</v>
      </c>
      <c r="C418" s="92" t="str">
        <f t="shared" ca="1" si="19"/>
        <v/>
      </c>
      <c r="D418" s="90" t="str">
        <f t="shared" ca="1" si="19"/>
        <v>NA</v>
      </c>
      <c r="E418" s="95" t="str">
        <f t="shared" ca="1" si="19"/>
        <v>Not available</v>
      </c>
    </row>
    <row r="419" spans="1:16" x14ac:dyDescent="0.3">
      <c r="A419" s="88" t="s">
        <v>1646</v>
      </c>
      <c r="B419" s="103" t="s">
        <v>1646</v>
      </c>
      <c r="C419" s="92" t="str">
        <f t="shared" ca="1" si="19"/>
        <v/>
      </c>
      <c r="D419" s="90" t="str">
        <f t="shared" ca="1" si="19"/>
        <v>NA</v>
      </c>
      <c r="E419" s="95" t="str">
        <f t="shared" ca="1" si="19"/>
        <v>Not available</v>
      </c>
    </row>
    <row r="420" spans="1:16" x14ac:dyDescent="0.3">
      <c r="A420" s="73" t="s">
        <v>1003</v>
      </c>
      <c r="B420" s="105"/>
      <c r="C420" s="86"/>
      <c r="D420" s="87"/>
      <c r="E420" s="73"/>
    </row>
    <row r="421" spans="1:16" x14ac:dyDescent="0.3">
      <c r="A421" s="119" t="s">
        <v>279</v>
      </c>
      <c r="B421" s="124" t="s">
        <v>279</v>
      </c>
      <c r="C421" s="93" t="str">
        <f ca="1">IF(NOT(COUNTA(INDIRECT("'"&amp;$E$412&amp;"'!"&amp;"G10:G45"))),"",VLOOKUP($A421,INDIRECT("'"&amp;$E$412&amp;"'!"&amp;"F9:I45"),MATCH(C$413,INDIRECT("'"&amp;$E$412&amp;"'!"&amp;"F10:I10"),0), FALSE))</f>
        <v/>
      </c>
      <c r="D421" s="121" t="str">
        <f ca="1">IF(NOT(COUNTA(INDIRECT("'"&amp;$E$412&amp;"'!"&amp;"G10:G45"))),"",VLOOKUP($A421,INDIRECT("'"&amp;$E$412&amp;"'!"&amp;"F9:I45"),MATCH(D$413,INDIRECT("'"&amp;$E$412&amp;"'!"&amp;"F10:I10"),0), FALSE))</f>
        <v>NA</v>
      </c>
      <c r="E421" s="122" t="str">
        <f ca="1">IF(NOT(COUNTA(INDIRECT("'"&amp;$E$412&amp;"'!"&amp;"G10:G45"))),"",VLOOKUP($A421,INDIRECT("'"&amp;$E$412&amp;"'!"&amp;"F9:I45"),MATCH(E$413,INDIRECT("'"&amp;$E$412&amp;"'!"&amp;"F10:I10"),0), FALSE))</f>
        <v/>
      </c>
    </row>
    <row r="422" spans="1:16" x14ac:dyDescent="0.3">
      <c r="A422" s="336" t="s">
        <v>1114</v>
      </c>
      <c r="B422" s="336"/>
      <c r="C422" s="336"/>
      <c r="D422" s="336"/>
      <c r="E422" s="336"/>
    </row>
    <row r="429" spans="1:16" x14ac:dyDescent="0.3">
      <c r="H429" s="101"/>
    </row>
    <row r="430" spans="1:16" ht="21" x14ac:dyDescent="0.35">
      <c r="A430" s="72" t="s">
        <v>1447</v>
      </c>
      <c r="B430" s="73"/>
      <c r="C430" s="73"/>
      <c r="D430" s="73"/>
      <c r="E430" s="73"/>
      <c r="F430" s="73"/>
      <c r="G430" s="73"/>
      <c r="H430" s="73"/>
      <c r="I430" s="73"/>
      <c r="J430" s="73"/>
      <c r="K430" s="73"/>
      <c r="L430" s="73"/>
      <c r="M430" s="73"/>
      <c r="N430" s="73"/>
      <c r="O430" s="73"/>
      <c r="P430" s="73"/>
    </row>
    <row r="432" spans="1:16" x14ac:dyDescent="0.3">
      <c r="A432" s="79" t="s">
        <v>413</v>
      </c>
      <c r="B432" s="80"/>
      <c r="C432" s="81"/>
      <c r="D432" s="81"/>
      <c r="E432" s="82" t="s">
        <v>418</v>
      </c>
    </row>
    <row r="433" spans="1:5" x14ac:dyDescent="0.3">
      <c r="A433" s="85" t="s">
        <v>133</v>
      </c>
      <c r="B433" s="73"/>
      <c r="C433" s="86" t="s">
        <v>134</v>
      </c>
      <c r="D433" s="87" t="s">
        <v>135</v>
      </c>
      <c r="E433" s="87" t="s">
        <v>317</v>
      </c>
    </row>
    <row r="434" spans="1:5" x14ac:dyDescent="0.3">
      <c r="A434" s="88" t="s">
        <v>331</v>
      </c>
      <c r="B434" s="103" t="s">
        <v>331</v>
      </c>
      <c r="C434" s="123" t="str">
        <f t="shared" ref="C434:E458" ca="1" si="20">IF(NOT(COUNTA(INDIRECT("'"&amp;$E$432&amp;"'!"&amp;"G10:G45"))),"",VLOOKUP($A434,INDIRECT("'"&amp;$E$432&amp;"'!"&amp;"F9:I45"),MATCH(C$433,INDIRECT("'"&amp;$E$432&amp;"'!"&amp;"F10:I10"),0), FALSE))</f>
        <v/>
      </c>
      <c r="D434" s="90" t="str">
        <f t="shared" ca="1" si="20"/>
        <v/>
      </c>
      <c r="E434" s="95" t="str">
        <f t="shared" ca="1" si="20"/>
        <v/>
      </c>
    </row>
    <row r="435" spans="1:5" x14ac:dyDescent="0.3">
      <c r="A435" s="88" t="s">
        <v>332</v>
      </c>
      <c r="B435" s="103" t="s">
        <v>332</v>
      </c>
      <c r="C435" s="104" t="str">
        <f t="shared" ca="1" si="20"/>
        <v/>
      </c>
      <c r="D435" s="90" t="str">
        <f t="shared" ca="1" si="20"/>
        <v/>
      </c>
      <c r="E435" s="95" t="str">
        <f t="shared" ca="1" si="20"/>
        <v/>
      </c>
    </row>
    <row r="436" spans="1:5" x14ac:dyDescent="0.3">
      <c r="A436" s="88" t="s">
        <v>333</v>
      </c>
      <c r="B436" s="103" t="s">
        <v>333</v>
      </c>
      <c r="C436" s="104" t="str">
        <f t="shared" ca="1" si="20"/>
        <v/>
      </c>
      <c r="D436" s="90" t="str">
        <f t="shared" ca="1" si="20"/>
        <v/>
      </c>
      <c r="E436" s="95" t="str">
        <f t="shared" ca="1" si="20"/>
        <v/>
      </c>
    </row>
    <row r="437" spans="1:5" x14ac:dyDescent="0.3">
      <c r="A437" s="88" t="s">
        <v>334</v>
      </c>
      <c r="B437" s="103" t="s">
        <v>334</v>
      </c>
      <c r="C437" s="104" t="str">
        <f t="shared" ca="1" si="20"/>
        <v/>
      </c>
      <c r="D437" s="90" t="str">
        <f t="shared" ca="1" si="20"/>
        <v/>
      </c>
      <c r="E437" s="95" t="str">
        <f t="shared" ca="1" si="20"/>
        <v/>
      </c>
    </row>
    <row r="438" spans="1:5" x14ac:dyDescent="0.3">
      <c r="A438" s="88" t="s">
        <v>335</v>
      </c>
      <c r="B438" s="103" t="s">
        <v>335</v>
      </c>
      <c r="C438" s="104" t="str">
        <f t="shared" ca="1" si="20"/>
        <v/>
      </c>
      <c r="D438" s="90" t="str">
        <f t="shared" ca="1" si="20"/>
        <v/>
      </c>
      <c r="E438" s="95" t="str">
        <f t="shared" ca="1" si="20"/>
        <v/>
      </c>
    </row>
    <row r="439" spans="1:5" x14ac:dyDescent="0.3">
      <c r="A439" s="88" t="s">
        <v>336</v>
      </c>
      <c r="B439" s="103" t="s">
        <v>336</v>
      </c>
      <c r="C439" s="104" t="str">
        <f t="shared" ca="1" si="20"/>
        <v/>
      </c>
      <c r="D439" s="90" t="str">
        <f t="shared" ca="1" si="20"/>
        <v/>
      </c>
      <c r="E439" s="95" t="str">
        <f t="shared" ca="1" si="20"/>
        <v/>
      </c>
    </row>
    <row r="440" spans="1:5" x14ac:dyDescent="0.3">
      <c r="A440" s="88" t="s">
        <v>337</v>
      </c>
      <c r="B440" s="103" t="s">
        <v>337</v>
      </c>
      <c r="C440" s="104" t="str">
        <f t="shared" ca="1" si="20"/>
        <v/>
      </c>
      <c r="D440" s="90" t="str">
        <f t="shared" ca="1" si="20"/>
        <v/>
      </c>
      <c r="E440" s="95" t="str">
        <f t="shared" ca="1" si="20"/>
        <v/>
      </c>
    </row>
    <row r="441" spans="1:5" x14ac:dyDescent="0.3">
      <c r="A441" s="88" t="s">
        <v>338</v>
      </c>
      <c r="B441" s="103" t="s">
        <v>338</v>
      </c>
      <c r="C441" s="104" t="str">
        <f t="shared" ca="1" si="20"/>
        <v/>
      </c>
      <c r="D441" s="90" t="str">
        <f t="shared" ca="1" si="20"/>
        <v/>
      </c>
      <c r="E441" s="95" t="str">
        <f t="shared" ca="1" si="20"/>
        <v/>
      </c>
    </row>
    <row r="442" spans="1:5" x14ac:dyDescent="0.3">
      <c r="A442" s="88" t="s">
        <v>1363</v>
      </c>
      <c r="B442" s="103" t="s">
        <v>1363</v>
      </c>
      <c r="C442" s="104" t="str">
        <f t="shared" ca="1" si="20"/>
        <v/>
      </c>
      <c r="D442" s="90" t="str">
        <f t="shared" ca="1" si="20"/>
        <v/>
      </c>
      <c r="E442" s="95" t="str">
        <f t="shared" ca="1" si="20"/>
        <v/>
      </c>
    </row>
    <row r="443" spans="1:5" x14ac:dyDescent="0.3">
      <c r="A443" s="88" t="s">
        <v>339</v>
      </c>
      <c r="B443" s="103" t="s">
        <v>339</v>
      </c>
      <c r="C443" s="104" t="str">
        <f t="shared" ca="1" si="20"/>
        <v/>
      </c>
      <c r="D443" s="90" t="str">
        <f t="shared" ca="1" si="20"/>
        <v/>
      </c>
      <c r="E443" s="95" t="str">
        <f t="shared" ca="1" si="20"/>
        <v/>
      </c>
    </row>
    <row r="444" spans="1:5" x14ac:dyDescent="0.3">
      <c r="A444" s="88" t="s">
        <v>340</v>
      </c>
      <c r="B444" s="103" t="s">
        <v>340</v>
      </c>
      <c r="C444" s="104" t="str">
        <f t="shared" ca="1" si="20"/>
        <v/>
      </c>
      <c r="D444" s="90" t="str">
        <f t="shared" ca="1" si="20"/>
        <v/>
      </c>
      <c r="E444" s="95" t="str">
        <f t="shared" ca="1" si="20"/>
        <v/>
      </c>
    </row>
    <row r="445" spans="1:5" x14ac:dyDescent="0.3">
      <c r="A445" s="88" t="s">
        <v>341</v>
      </c>
      <c r="B445" s="103" t="s">
        <v>341</v>
      </c>
      <c r="C445" s="104" t="str">
        <f t="shared" ca="1" si="20"/>
        <v/>
      </c>
      <c r="D445" s="90" t="str">
        <f t="shared" ca="1" si="20"/>
        <v/>
      </c>
      <c r="E445" s="95" t="str">
        <f t="shared" ca="1" si="20"/>
        <v/>
      </c>
    </row>
    <row r="446" spans="1:5" x14ac:dyDescent="0.3">
      <c r="A446" s="88" t="s">
        <v>1356</v>
      </c>
      <c r="B446" s="103" t="s">
        <v>1356</v>
      </c>
      <c r="C446" s="104" t="str">
        <f t="shared" ca="1" si="20"/>
        <v/>
      </c>
      <c r="D446" s="90" t="str">
        <f t="shared" ca="1" si="20"/>
        <v/>
      </c>
      <c r="E446" s="95" t="str">
        <f t="shared" ca="1" si="20"/>
        <v/>
      </c>
    </row>
    <row r="447" spans="1:5" x14ac:dyDescent="0.3">
      <c r="A447" s="88" t="s">
        <v>342</v>
      </c>
      <c r="B447" s="103" t="s">
        <v>342</v>
      </c>
      <c r="C447" s="104" t="str">
        <f t="shared" ca="1" si="20"/>
        <v/>
      </c>
      <c r="D447" s="90" t="str">
        <f t="shared" ca="1" si="20"/>
        <v/>
      </c>
      <c r="E447" s="95" t="str">
        <f t="shared" ca="1" si="20"/>
        <v/>
      </c>
    </row>
    <row r="448" spans="1:5" x14ac:dyDescent="0.3">
      <c r="A448" s="88" t="s">
        <v>343</v>
      </c>
      <c r="B448" s="103" t="s">
        <v>343</v>
      </c>
      <c r="C448" s="104" t="str">
        <f t="shared" ca="1" si="20"/>
        <v/>
      </c>
      <c r="D448" s="90" t="str">
        <f t="shared" ca="1" si="20"/>
        <v/>
      </c>
      <c r="E448" s="95" t="str">
        <f t="shared" ca="1" si="20"/>
        <v/>
      </c>
    </row>
    <row r="449" spans="1:5" x14ac:dyDescent="0.3">
      <c r="A449" s="88" t="s">
        <v>1357</v>
      </c>
      <c r="B449" s="103" t="s">
        <v>1357</v>
      </c>
      <c r="C449" s="104" t="str">
        <f t="shared" ca="1" si="20"/>
        <v/>
      </c>
      <c r="D449" s="90" t="str">
        <f t="shared" ca="1" si="20"/>
        <v/>
      </c>
      <c r="E449" s="95" t="str">
        <f t="shared" ca="1" si="20"/>
        <v/>
      </c>
    </row>
    <row r="450" spans="1:5" x14ac:dyDescent="0.3">
      <c r="A450" s="88" t="s">
        <v>344</v>
      </c>
      <c r="B450" s="103" t="s">
        <v>344</v>
      </c>
      <c r="C450" s="104" t="str">
        <f t="shared" ca="1" si="20"/>
        <v/>
      </c>
      <c r="D450" s="90" t="str">
        <f t="shared" ca="1" si="20"/>
        <v/>
      </c>
      <c r="E450" s="95" t="str">
        <f t="shared" ca="1" si="20"/>
        <v/>
      </c>
    </row>
    <row r="451" spans="1:5" x14ac:dyDescent="0.3">
      <c r="A451" s="88" t="s">
        <v>1358</v>
      </c>
      <c r="B451" s="103" t="s">
        <v>1358</v>
      </c>
      <c r="C451" s="104" t="str">
        <f t="shared" ca="1" si="20"/>
        <v/>
      </c>
      <c r="D451" s="90" t="str">
        <f t="shared" ca="1" si="20"/>
        <v/>
      </c>
      <c r="E451" s="95" t="str">
        <f t="shared" ca="1" si="20"/>
        <v/>
      </c>
    </row>
    <row r="452" spans="1:5" x14ac:dyDescent="0.3">
      <c r="A452" s="88" t="s">
        <v>1359</v>
      </c>
      <c r="B452" s="103" t="s">
        <v>1359</v>
      </c>
      <c r="C452" s="104" t="str">
        <f t="shared" ca="1" si="20"/>
        <v/>
      </c>
      <c r="D452" s="90" t="str">
        <f t="shared" ca="1" si="20"/>
        <v/>
      </c>
      <c r="E452" s="95" t="str">
        <f t="shared" ca="1" si="20"/>
        <v/>
      </c>
    </row>
    <row r="453" spans="1:5" x14ac:dyDescent="0.3">
      <c r="A453" s="88" t="s">
        <v>1360</v>
      </c>
      <c r="B453" s="103" t="s">
        <v>1360</v>
      </c>
      <c r="C453" s="104" t="str">
        <f t="shared" ca="1" si="20"/>
        <v/>
      </c>
      <c r="D453" s="90" t="str">
        <f t="shared" ca="1" si="20"/>
        <v/>
      </c>
      <c r="E453" s="95" t="str">
        <f t="shared" ca="1" si="20"/>
        <v/>
      </c>
    </row>
    <row r="454" spans="1:5" x14ac:dyDescent="0.3">
      <c r="A454" s="88" t="s">
        <v>1361</v>
      </c>
      <c r="B454" s="103" t="s">
        <v>1361</v>
      </c>
      <c r="C454" s="104" t="str">
        <f t="shared" ca="1" si="20"/>
        <v/>
      </c>
      <c r="D454" s="90" t="str">
        <f t="shared" ca="1" si="20"/>
        <v/>
      </c>
      <c r="E454" s="95" t="str">
        <f t="shared" ca="1" si="20"/>
        <v/>
      </c>
    </row>
    <row r="455" spans="1:5" x14ac:dyDescent="0.3">
      <c r="A455" s="88" t="s">
        <v>345</v>
      </c>
      <c r="B455" s="103" t="s">
        <v>345</v>
      </c>
      <c r="C455" s="104" t="str">
        <f t="shared" ca="1" si="20"/>
        <v/>
      </c>
      <c r="D455" s="90" t="str">
        <f t="shared" ca="1" si="20"/>
        <v/>
      </c>
      <c r="E455" s="95" t="str">
        <f t="shared" ca="1" si="20"/>
        <v/>
      </c>
    </row>
    <row r="456" spans="1:5" x14ac:dyDescent="0.3">
      <c r="A456" s="88" t="s">
        <v>346</v>
      </c>
      <c r="B456" s="103" t="s">
        <v>346</v>
      </c>
      <c r="C456" s="104" t="str">
        <f t="shared" ca="1" si="20"/>
        <v/>
      </c>
      <c r="D456" s="90" t="str">
        <f t="shared" ca="1" si="20"/>
        <v/>
      </c>
      <c r="E456" s="95" t="str">
        <f t="shared" ca="1" si="20"/>
        <v/>
      </c>
    </row>
    <row r="457" spans="1:5" x14ac:dyDescent="0.3">
      <c r="A457" s="88" t="s">
        <v>1362</v>
      </c>
      <c r="B457" s="103" t="s">
        <v>1362</v>
      </c>
      <c r="C457" s="104" t="str">
        <f t="shared" ca="1" si="20"/>
        <v/>
      </c>
      <c r="D457" s="90" t="str">
        <f t="shared" ca="1" si="20"/>
        <v/>
      </c>
      <c r="E457" s="95" t="str">
        <f t="shared" ca="1" si="20"/>
        <v/>
      </c>
    </row>
    <row r="458" spans="1:5" x14ac:dyDescent="0.3">
      <c r="A458" s="88" t="s">
        <v>347</v>
      </c>
      <c r="B458" s="103" t="s">
        <v>347</v>
      </c>
      <c r="C458" s="104" t="str">
        <f t="shared" ca="1" si="20"/>
        <v/>
      </c>
      <c r="D458" s="90" t="str">
        <f t="shared" ca="1" si="20"/>
        <v/>
      </c>
      <c r="E458" s="95" t="str">
        <f t="shared" ca="1" si="20"/>
        <v/>
      </c>
    </row>
    <row r="459" spans="1:5" x14ac:dyDescent="0.3">
      <c r="A459" s="85" t="s">
        <v>324</v>
      </c>
      <c r="B459" s="73"/>
      <c r="C459" s="86"/>
      <c r="D459" s="87"/>
      <c r="E459" s="73"/>
    </row>
    <row r="460" spans="1:5" x14ac:dyDescent="0.3">
      <c r="A460" s="88" t="s">
        <v>325</v>
      </c>
      <c r="B460" s="103" t="s">
        <v>325</v>
      </c>
      <c r="C460" s="104" t="str">
        <f t="shared" ref="C460:E464" ca="1" si="21">IF(NOT(COUNTA(INDIRECT("'"&amp;$E$432&amp;"'!"&amp;"G10:G45"))),"",VLOOKUP($A460,INDIRECT("'"&amp;$E$432&amp;"'!"&amp;"F9:I45"),MATCH(C$433,INDIRECT("'"&amp;$E$432&amp;"'!"&amp;"F10:I10"),0), FALSE))</f>
        <v/>
      </c>
      <c r="D460" s="90" t="str">
        <f t="shared" ca="1" si="21"/>
        <v/>
      </c>
      <c r="E460" s="95" t="str">
        <f t="shared" ca="1" si="21"/>
        <v/>
      </c>
    </row>
    <row r="461" spans="1:5" x14ac:dyDescent="0.3">
      <c r="A461" s="88" t="s">
        <v>326</v>
      </c>
      <c r="B461" s="103" t="s">
        <v>326</v>
      </c>
      <c r="C461" s="104" t="str">
        <f t="shared" ca="1" si="21"/>
        <v/>
      </c>
      <c r="D461" s="90" t="str">
        <f t="shared" ca="1" si="21"/>
        <v/>
      </c>
      <c r="E461" s="95" t="str">
        <f t="shared" ca="1" si="21"/>
        <v/>
      </c>
    </row>
    <row r="462" spans="1:5" x14ac:dyDescent="0.3">
      <c r="A462" s="88" t="s">
        <v>327</v>
      </c>
      <c r="B462" s="103" t="s">
        <v>327</v>
      </c>
      <c r="C462" s="104" t="str">
        <f t="shared" ca="1" si="21"/>
        <v/>
      </c>
      <c r="D462" s="90" t="str">
        <f t="shared" ca="1" si="21"/>
        <v/>
      </c>
      <c r="E462" s="95" t="str">
        <f t="shared" ca="1" si="21"/>
        <v/>
      </c>
    </row>
    <row r="463" spans="1:5" x14ac:dyDescent="0.3">
      <c r="A463" s="88" t="s">
        <v>328</v>
      </c>
      <c r="B463" s="103" t="s">
        <v>328</v>
      </c>
      <c r="C463" s="104" t="str">
        <f t="shared" ca="1" si="21"/>
        <v/>
      </c>
      <c r="D463" s="90" t="str">
        <f t="shared" ca="1" si="21"/>
        <v/>
      </c>
      <c r="E463" s="95" t="str">
        <f t="shared" ca="1" si="21"/>
        <v/>
      </c>
    </row>
    <row r="464" spans="1:5" x14ac:dyDescent="0.3">
      <c r="A464" s="88" t="s">
        <v>329</v>
      </c>
      <c r="B464" s="103" t="s">
        <v>329</v>
      </c>
      <c r="C464" s="108" t="str">
        <f t="shared" ca="1" si="21"/>
        <v/>
      </c>
      <c r="D464" s="90" t="str">
        <f t="shared" ca="1" si="21"/>
        <v/>
      </c>
      <c r="E464" s="95" t="str">
        <f t="shared" ca="1" si="21"/>
        <v/>
      </c>
    </row>
    <row r="465" spans="1:5" x14ac:dyDescent="0.3">
      <c r="A465" s="335" t="s">
        <v>800</v>
      </c>
      <c r="B465" s="335"/>
      <c r="C465" s="335"/>
      <c r="D465" s="335"/>
      <c r="E465" s="335"/>
    </row>
    <row r="469" spans="1:5" x14ac:dyDescent="0.3">
      <c r="A469" s="79" t="s">
        <v>713</v>
      </c>
      <c r="B469" s="80"/>
      <c r="C469" s="81"/>
      <c r="D469" s="81"/>
      <c r="E469" s="82" t="s">
        <v>759</v>
      </c>
    </row>
    <row r="470" spans="1:5" x14ac:dyDescent="0.3">
      <c r="A470" s="85" t="s">
        <v>324</v>
      </c>
      <c r="B470" s="73"/>
      <c r="C470" s="86" t="s">
        <v>134</v>
      </c>
      <c r="D470" s="87" t="s">
        <v>135</v>
      </c>
      <c r="E470" s="87" t="s">
        <v>317</v>
      </c>
    </row>
    <row r="471" spans="1:5" x14ac:dyDescent="0.3">
      <c r="A471" s="88" t="s">
        <v>325</v>
      </c>
      <c r="B471" s="103" t="s">
        <v>325</v>
      </c>
      <c r="C471" s="109" t="str">
        <f t="shared" ref="C471:E475" ca="1" si="22">IF(NOT(COUNTA(INDIRECT("'"&amp;$E$469&amp;"'!"&amp;"G10:G45"))),"",VLOOKUP($A471,INDIRECT("'"&amp;$E$469&amp;"'!"&amp;"F9:I45"),MATCH(C$470,INDIRECT("'"&amp;$E$469&amp;"'!"&amp;"F10:I10"),0), FALSE))</f>
        <v/>
      </c>
      <c r="D471" s="90" t="str">
        <f t="shared" ca="1" si="22"/>
        <v/>
      </c>
      <c r="E471" s="95" t="str">
        <f t="shared" ca="1" si="22"/>
        <v/>
      </c>
    </row>
    <row r="472" spans="1:5" x14ac:dyDescent="0.3">
      <c r="A472" s="88" t="s">
        <v>326</v>
      </c>
      <c r="B472" s="103" t="s">
        <v>326</v>
      </c>
      <c r="C472" s="109" t="str">
        <f t="shared" ca="1" si="22"/>
        <v/>
      </c>
      <c r="D472" s="90" t="str">
        <f t="shared" ca="1" si="22"/>
        <v/>
      </c>
      <c r="E472" s="95" t="str">
        <f t="shared" ca="1" si="22"/>
        <v/>
      </c>
    </row>
    <row r="473" spans="1:5" x14ac:dyDescent="0.3">
      <c r="A473" s="88" t="s">
        <v>327</v>
      </c>
      <c r="B473" s="103" t="s">
        <v>327</v>
      </c>
      <c r="C473" s="109" t="str">
        <f t="shared" ca="1" si="22"/>
        <v/>
      </c>
      <c r="D473" s="90" t="str">
        <f t="shared" ca="1" si="22"/>
        <v/>
      </c>
      <c r="E473" s="95" t="str">
        <f t="shared" ca="1" si="22"/>
        <v/>
      </c>
    </row>
    <row r="474" spans="1:5" x14ac:dyDescent="0.3">
      <c r="A474" s="88" t="s">
        <v>328</v>
      </c>
      <c r="B474" s="103" t="s">
        <v>328</v>
      </c>
      <c r="C474" s="109" t="str">
        <f t="shared" ca="1" si="22"/>
        <v/>
      </c>
      <c r="D474" s="90" t="str">
        <f t="shared" ca="1" si="22"/>
        <v/>
      </c>
      <c r="E474" s="95" t="str">
        <f t="shared" ca="1" si="22"/>
        <v/>
      </c>
    </row>
    <row r="475" spans="1:5" x14ac:dyDescent="0.3">
      <c r="A475" s="88" t="s">
        <v>329</v>
      </c>
      <c r="B475" s="103" t="s">
        <v>329</v>
      </c>
      <c r="C475" s="125" t="str">
        <f t="shared" ca="1" si="22"/>
        <v/>
      </c>
      <c r="D475" s="90" t="str">
        <f t="shared" ca="1" si="22"/>
        <v/>
      </c>
      <c r="E475" s="95" t="str">
        <f t="shared" ca="1" si="22"/>
        <v/>
      </c>
    </row>
    <row r="476" spans="1:5" x14ac:dyDescent="0.3">
      <c r="A476" s="335" t="s">
        <v>801</v>
      </c>
      <c r="B476" s="335"/>
      <c r="C476" s="335"/>
      <c r="D476" s="335"/>
      <c r="E476" s="335"/>
    </row>
    <row r="485" spans="1:5" x14ac:dyDescent="0.3">
      <c r="A485" s="79" t="s">
        <v>1340</v>
      </c>
      <c r="B485" s="80"/>
      <c r="C485" s="81"/>
      <c r="D485" s="81"/>
      <c r="E485" s="126" t="s">
        <v>1344</v>
      </c>
    </row>
    <row r="486" spans="1:5" ht="48" x14ac:dyDescent="0.3">
      <c r="A486" s="85" t="s">
        <v>133</v>
      </c>
      <c r="B486" s="73"/>
      <c r="C486" s="86" t="s">
        <v>134</v>
      </c>
      <c r="D486" s="127" t="s">
        <v>1364</v>
      </c>
      <c r="E486" s="87" t="s">
        <v>317</v>
      </c>
    </row>
    <row r="487" spans="1:5" x14ac:dyDescent="0.3">
      <c r="A487" s="88" t="s">
        <v>1345</v>
      </c>
      <c r="B487" s="103" t="s">
        <v>1345</v>
      </c>
      <c r="C487" s="123" t="str">
        <f t="shared" ref="C487:E506" ca="1" si="23">IF(NOT(COUNTA(INDIRECT("'"&amp;$E$485&amp;"'!"&amp;"G10:G45"))),"",VLOOKUP($A487,INDIRECT("'"&amp;$E$485&amp;"'!"&amp;"F9:I45"),MATCH(C$486,INDIRECT("'"&amp;$E$485&amp;"'!"&amp;"F10:I10"),0), FALSE))</f>
        <v/>
      </c>
      <c r="D487" s="128" t="str">
        <f t="shared" ca="1" si="23"/>
        <v/>
      </c>
      <c r="E487" s="95" t="str">
        <f t="shared" ca="1" si="23"/>
        <v/>
      </c>
    </row>
    <row r="488" spans="1:5" x14ac:dyDescent="0.3">
      <c r="A488" s="88" t="s">
        <v>1071</v>
      </c>
      <c r="B488" s="103" t="s">
        <v>1071</v>
      </c>
      <c r="C488" s="104" t="str">
        <f t="shared" ca="1" si="23"/>
        <v/>
      </c>
      <c r="D488" s="128" t="str">
        <f t="shared" ca="1" si="23"/>
        <v/>
      </c>
      <c r="E488" s="95" t="str">
        <f t="shared" ca="1" si="23"/>
        <v/>
      </c>
    </row>
    <row r="489" spans="1:5" x14ac:dyDescent="0.3">
      <c r="A489" s="88" t="s">
        <v>1072</v>
      </c>
      <c r="B489" s="103" t="s">
        <v>1072</v>
      </c>
      <c r="C489" s="104" t="str">
        <f t="shared" ca="1" si="23"/>
        <v/>
      </c>
      <c r="D489" s="128" t="str">
        <f t="shared" ca="1" si="23"/>
        <v/>
      </c>
      <c r="E489" s="95" t="str">
        <f t="shared" ca="1" si="23"/>
        <v/>
      </c>
    </row>
    <row r="490" spans="1:5" x14ac:dyDescent="0.3">
      <c r="A490" s="88" t="s">
        <v>1346</v>
      </c>
      <c r="B490" s="103" t="s">
        <v>1346</v>
      </c>
      <c r="C490" s="104" t="str">
        <f t="shared" ca="1" si="23"/>
        <v/>
      </c>
      <c r="D490" s="128" t="str">
        <f t="shared" ca="1" si="23"/>
        <v/>
      </c>
      <c r="E490" s="95" t="str">
        <f t="shared" ca="1" si="23"/>
        <v/>
      </c>
    </row>
    <row r="491" spans="1:5" x14ac:dyDescent="0.3">
      <c r="A491" s="88" t="s">
        <v>1073</v>
      </c>
      <c r="B491" s="103" t="s">
        <v>1073</v>
      </c>
      <c r="C491" s="104" t="str">
        <f t="shared" ca="1" si="23"/>
        <v/>
      </c>
      <c r="D491" s="128" t="str">
        <f t="shared" ca="1" si="23"/>
        <v/>
      </c>
      <c r="E491" s="95" t="str">
        <f t="shared" ca="1" si="23"/>
        <v/>
      </c>
    </row>
    <row r="492" spans="1:5" x14ac:dyDescent="0.3">
      <c r="A492" s="88" t="s">
        <v>1074</v>
      </c>
      <c r="B492" s="103" t="s">
        <v>1074</v>
      </c>
      <c r="C492" s="104" t="str">
        <f t="shared" ca="1" si="23"/>
        <v/>
      </c>
      <c r="D492" s="128" t="str">
        <f t="shared" ca="1" si="23"/>
        <v/>
      </c>
      <c r="E492" s="95" t="str">
        <f t="shared" ca="1" si="23"/>
        <v/>
      </c>
    </row>
    <row r="493" spans="1:5" x14ac:dyDescent="0.3">
      <c r="A493" s="88" t="s">
        <v>1075</v>
      </c>
      <c r="B493" s="103" t="s">
        <v>1075</v>
      </c>
      <c r="C493" s="104" t="str">
        <f t="shared" ca="1" si="23"/>
        <v/>
      </c>
      <c r="D493" s="128" t="str">
        <f t="shared" ca="1" si="23"/>
        <v/>
      </c>
      <c r="E493" s="95" t="str">
        <f t="shared" ca="1" si="23"/>
        <v/>
      </c>
    </row>
    <row r="494" spans="1:5" x14ac:dyDescent="0.3">
      <c r="A494" s="88" t="s">
        <v>1347</v>
      </c>
      <c r="B494" s="103" t="s">
        <v>1347</v>
      </c>
      <c r="C494" s="104" t="str">
        <f t="shared" ca="1" si="23"/>
        <v/>
      </c>
      <c r="D494" s="128" t="str">
        <f t="shared" ca="1" si="23"/>
        <v/>
      </c>
      <c r="E494" s="95" t="str">
        <f t="shared" ca="1" si="23"/>
        <v/>
      </c>
    </row>
    <row r="495" spans="1:5" x14ac:dyDescent="0.3">
      <c r="A495" s="88" t="s">
        <v>1076</v>
      </c>
      <c r="B495" s="103" t="s">
        <v>1076</v>
      </c>
      <c r="C495" s="104" t="str">
        <f t="shared" ca="1" si="23"/>
        <v/>
      </c>
      <c r="D495" s="128" t="str">
        <f t="shared" ca="1" si="23"/>
        <v/>
      </c>
      <c r="E495" s="95" t="str">
        <f t="shared" ca="1" si="23"/>
        <v/>
      </c>
    </row>
    <row r="496" spans="1:5" x14ac:dyDescent="0.3">
      <c r="A496" s="88" t="s">
        <v>1077</v>
      </c>
      <c r="B496" s="103" t="s">
        <v>1077</v>
      </c>
      <c r="C496" s="104" t="str">
        <f t="shared" ca="1" si="23"/>
        <v/>
      </c>
      <c r="D496" s="128" t="str">
        <f t="shared" ca="1" si="23"/>
        <v/>
      </c>
      <c r="E496" s="95" t="str">
        <f t="shared" ca="1" si="23"/>
        <v/>
      </c>
    </row>
    <row r="497" spans="1:5" x14ac:dyDescent="0.3">
      <c r="A497" s="88" t="s">
        <v>1355</v>
      </c>
      <c r="B497" s="103" t="s">
        <v>1355</v>
      </c>
      <c r="C497" s="104" t="str">
        <f t="shared" ca="1" si="23"/>
        <v/>
      </c>
      <c r="D497" s="128" t="str">
        <f t="shared" ca="1" si="23"/>
        <v/>
      </c>
      <c r="E497" s="95" t="str">
        <f t="shared" ca="1" si="23"/>
        <v/>
      </c>
    </row>
    <row r="498" spans="1:5" x14ac:dyDescent="0.3">
      <c r="A498" s="88" t="s">
        <v>1348</v>
      </c>
      <c r="B498" s="103" t="s">
        <v>1348</v>
      </c>
      <c r="C498" s="104" t="str">
        <f t="shared" ca="1" si="23"/>
        <v/>
      </c>
      <c r="D498" s="128" t="str">
        <f t="shared" ca="1" si="23"/>
        <v/>
      </c>
      <c r="E498" s="95" t="str">
        <f t="shared" ca="1" si="23"/>
        <v/>
      </c>
    </row>
    <row r="499" spans="1:5" x14ac:dyDescent="0.3">
      <c r="A499" s="88" t="s">
        <v>1349</v>
      </c>
      <c r="B499" s="103" t="s">
        <v>1349</v>
      </c>
      <c r="C499" s="104" t="str">
        <f t="shared" ca="1" si="23"/>
        <v/>
      </c>
      <c r="D499" s="128" t="str">
        <f t="shared" ca="1" si="23"/>
        <v/>
      </c>
      <c r="E499" s="95" t="str">
        <f t="shared" ca="1" si="23"/>
        <v/>
      </c>
    </row>
    <row r="500" spans="1:5" x14ac:dyDescent="0.3">
      <c r="A500" s="88" t="s">
        <v>1350</v>
      </c>
      <c r="B500" s="103" t="s">
        <v>1350</v>
      </c>
      <c r="C500" s="104" t="str">
        <f t="shared" ca="1" si="23"/>
        <v/>
      </c>
      <c r="D500" s="128" t="str">
        <f t="shared" ca="1" si="23"/>
        <v/>
      </c>
      <c r="E500" s="95" t="str">
        <f t="shared" ca="1" si="23"/>
        <v/>
      </c>
    </row>
    <row r="501" spans="1:5" x14ac:dyDescent="0.3">
      <c r="A501" s="88" t="s">
        <v>1078</v>
      </c>
      <c r="B501" s="103" t="s">
        <v>1078</v>
      </c>
      <c r="C501" s="104" t="str">
        <f t="shared" ca="1" si="23"/>
        <v/>
      </c>
      <c r="D501" s="128" t="str">
        <f t="shared" ca="1" si="23"/>
        <v/>
      </c>
      <c r="E501" s="95" t="str">
        <f t="shared" ca="1" si="23"/>
        <v/>
      </c>
    </row>
    <row r="502" spans="1:5" x14ac:dyDescent="0.3">
      <c r="A502" s="88" t="s">
        <v>1351</v>
      </c>
      <c r="B502" s="103" t="s">
        <v>1351</v>
      </c>
      <c r="C502" s="104" t="str">
        <f t="shared" ca="1" si="23"/>
        <v/>
      </c>
      <c r="D502" s="128" t="str">
        <f t="shared" ca="1" si="23"/>
        <v/>
      </c>
      <c r="E502" s="95" t="str">
        <f t="shared" ca="1" si="23"/>
        <v/>
      </c>
    </row>
    <row r="503" spans="1:5" x14ac:dyDescent="0.3">
      <c r="A503" s="88" t="s">
        <v>1352</v>
      </c>
      <c r="B503" s="103" t="s">
        <v>1352</v>
      </c>
      <c r="C503" s="104" t="str">
        <f t="shared" ca="1" si="23"/>
        <v/>
      </c>
      <c r="D503" s="128" t="str">
        <f t="shared" ca="1" si="23"/>
        <v/>
      </c>
      <c r="E503" s="95" t="str">
        <f t="shared" ca="1" si="23"/>
        <v/>
      </c>
    </row>
    <row r="504" spans="1:5" x14ac:dyDescent="0.3">
      <c r="A504" s="88" t="s">
        <v>1079</v>
      </c>
      <c r="B504" s="103" t="s">
        <v>1079</v>
      </c>
      <c r="C504" s="104" t="str">
        <f t="shared" ca="1" si="23"/>
        <v/>
      </c>
      <c r="D504" s="128" t="str">
        <f t="shared" ca="1" si="23"/>
        <v/>
      </c>
      <c r="E504" s="95" t="str">
        <f t="shared" ca="1" si="23"/>
        <v/>
      </c>
    </row>
    <row r="505" spans="1:5" x14ac:dyDescent="0.3">
      <c r="A505" s="88" t="s">
        <v>1353</v>
      </c>
      <c r="B505" s="103" t="s">
        <v>1353</v>
      </c>
      <c r="C505" s="104" t="str">
        <f t="shared" ca="1" si="23"/>
        <v/>
      </c>
      <c r="D505" s="128" t="str">
        <f t="shared" ca="1" si="23"/>
        <v/>
      </c>
      <c r="E505" s="95" t="str">
        <f t="shared" ca="1" si="23"/>
        <v/>
      </c>
    </row>
    <row r="506" spans="1:5" x14ac:dyDescent="0.3">
      <c r="A506" s="88" t="s">
        <v>1354</v>
      </c>
      <c r="B506" s="103" t="s">
        <v>1354</v>
      </c>
      <c r="C506" s="104" t="str">
        <f t="shared" ca="1" si="23"/>
        <v/>
      </c>
      <c r="D506" s="128" t="str">
        <f t="shared" ca="1" si="23"/>
        <v/>
      </c>
      <c r="E506" s="95" t="str">
        <f t="shared" ca="1" si="23"/>
        <v/>
      </c>
    </row>
    <row r="507" spans="1:5" x14ac:dyDescent="0.3">
      <c r="A507" s="336" t="s">
        <v>1367</v>
      </c>
      <c r="B507" s="336"/>
      <c r="C507" s="336"/>
      <c r="D507" s="336"/>
      <c r="E507" s="336"/>
    </row>
  </sheetData>
  <sheetProtection algorithmName="SHA-512" hashValue="ktnuvizIdevPKLgJSSWJPDKK+F/2w/lKZQyzb2nJvUoGFP19KawRn3WqBnbj993aNZ9MCMVyk+1udILiK6AE4g==" saltValue="DcotCqQfxOqpfwPPqEAwzg==" spinCount="100000" sheet="1" objects="1" scenarios="1"/>
  <mergeCells count="32">
    <mergeCell ref="A507:E507"/>
    <mergeCell ref="A292:E292"/>
    <mergeCell ref="A17:E17"/>
    <mergeCell ref="A231:E231"/>
    <mergeCell ref="A168:E168"/>
    <mergeCell ref="A179:E179"/>
    <mergeCell ref="A147:E147"/>
    <mergeCell ref="A112:E112"/>
    <mergeCell ref="A64:E64"/>
    <mergeCell ref="A96:E96"/>
    <mergeCell ref="A80:E80"/>
    <mergeCell ref="A261:E261"/>
    <mergeCell ref="A317:E317"/>
    <mergeCell ref="A422:E422"/>
    <mergeCell ref="A476:E476"/>
    <mergeCell ref="A341:E341"/>
    <mergeCell ref="A6:P6"/>
    <mergeCell ref="A8:P8"/>
    <mergeCell ref="A7:P7"/>
    <mergeCell ref="A5:E5"/>
    <mergeCell ref="A465:E465"/>
    <mergeCell ref="A140:E140"/>
    <mergeCell ref="A224:E224"/>
    <mergeCell ref="A307:E307"/>
    <mergeCell ref="A195:E195"/>
    <mergeCell ref="A355:E355"/>
    <mergeCell ref="A33:E33"/>
    <mergeCell ref="A388:E388"/>
    <mergeCell ref="A399:E399"/>
    <mergeCell ref="A366:E366"/>
    <mergeCell ref="A48:E48"/>
    <mergeCell ref="A276:E276"/>
  </mergeCells>
  <pageMargins left="0.7" right="0.7" top="0.75" bottom="0.75"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540B-127F-EE4E-A975-406D27A51D10}">
  <sheetPr>
    <tabColor theme="5"/>
  </sheetPr>
  <dimension ref="A1:AE35"/>
  <sheetViews>
    <sheetView workbookViewId="0">
      <selection activeCell="C11" sqref="C11"/>
    </sheetView>
  </sheetViews>
  <sheetFormatPr defaultColWidth="10.875" defaultRowHeight="19.5" x14ac:dyDescent="0.3"/>
  <cols>
    <col min="1" max="1" width="8.375" style="28" customWidth="1"/>
    <col min="2" max="2" width="106" style="28" customWidth="1"/>
    <col min="3" max="3" width="12.5" style="28" customWidth="1"/>
    <col min="4" max="5" width="10.875" style="28"/>
    <col min="6" max="6" width="54.125" style="28" customWidth="1"/>
    <col min="7" max="8" width="12.5" style="28" customWidth="1"/>
    <col min="9" max="9" width="15.125" style="28" bestFit="1" customWidth="1"/>
    <col min="10" max="10" width="214.625" style="28" bestFit="1" customWidth="1"/>
    <col min="11" max="11" width="19.375"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129" t="s">
        <v>363</v>
      </c>
      <c r="F3" s="130"/>
      <c r="G3" s="130"/>
      <c r="H3" s="130"/>
      <c r="I3" s="130"/>
      <c r="J3" s="130"/>
      <c r="AE3" s="61"/>
    </row>
    <row r="5" spans="1:31" x14ac:dyDescent="0.3">
      <c r="A5" s="131" t="s">
        <v>818</v>
      </c>
      <c r="B5" s="132"/>
      <c r="C5" s="132"/>
    </row>
    <row r="6" spans="1:31" s="133" customFormat="1" ht="35.1" customHeight="1" x14ac:dyDescent="0.25">
      <c r="A6" s="339" t="s">
        <v>364</v>
      </c>
      <c r="B6" s="340"/>
      <c r="C6" s="341"/>
      <c r="AE6" s="134"/>
    </row>
    <row r="7" spans="1:31" s="133" customFormat="1" x14ac:dyDescent="0.25">
      <c r="A7" s="342" t="s">
        <v>365</v>
      </c>
      <c r="B7" s="343"/>
      <c r="C7" s="344"/>
      <c r="AE7" s="134"/>
    </row>
    <row r="8" spans="1:31" ht="20.25" thickBot="1" x14ac:dyDescent="0.35"/>
    <row r="9" spans="1:31" x14ac:dyDescent="0.3">
      <c r="A9" s="138"/>
      <c r="B9" s="139"/>
      <c r="C9" s="140"/>
      <c r="F9" s="139" t="s">
        <v>132</v>
      </c>
      <c r="G9" s="141"/>
      <c r="H9" s="142" t="s">
        <v>362</v>
      </c>
      <c r="I9" s="143"/>
      <c r="J9" s="139"/>
      <c r="K9" s="139"/>
    </row>
    <row r="10" spans="1:31" ht="75" x14ac:dyDescent="0.3">
      <c r="A10" s="144" t="s">
        <v>1</v>
      </c>
      <c r="B10" s="144" t="s">
        <v>2</v>
      </c>
      <c r="C10" s="145" t="s">
        <v>821</v>
      </c>
      <c r="F10" s="146" t="s">
        <v>133</v>
      </c>
      <c r="G10" s="147" t="s">
        <v>134</v>
      </c>
      <c r="H10" s="147" t="s">
        <v>135</v>
      </c>
      <c r="I10" s="148" t="s">
        <v>317</v>
      </c>
      <c r="J10" s="146" t="s">
        <v>136</v>
      </c>
      <c r="K10" s="146" t="s">
        <v>1448</v>
      </c>
    </row>
    <row r="11" spans="1:31" s="33" customFormat="1" x14ac:dyDescent="0.25">
      <c r="A11" s="149">
        <v>1</v>
      </c>
      <c r="B11" s="33" t="s">
        <v>645</v>
      </c>
      <c r="C11" s="175"/>
      <c r="F11" s="150" t="s">
        <v>367</v>
      </c>
      <c r="G11" s="151" t="str" cm="1">
        <f t="array" ref="G11">IF(COUNTA(C$11:C$230)&gt;0,SUM(SUMIF(A$11:A$230,{3,5,10,13,16,17,21},C$11:C$230)),"")</f>
        <v/>
      </c>
      <c r="H11" s="152" t="s">
        <v>740</v>
      </c>
      <c r="I11" s="153" t="str" cm="1">
        <f t="array" ref="I11">_xlfn.IFS(G11="","",AND(0&lt;=G11, G11&lt;=4),"Normal",AND(5&lt;=G11, G11&lt;=6),"Mild",AND(7&lt;=G11, G11&lt;=10), "Moderate",AND(11&lt;=G11, G11&lt;=13), "Severe",14&lt;=G11,"Extremely severe")</f>
        <v/>
      </c>
      <c r="J11" s="154" t="s">
        <v>790</v>
      </c>
      <c r="K11" s="154" t="s">
        <v>1449</v>
      </c>
      <c r="AE11" s="62"/>
    </row>
    <row r="12" spans="1:31" s="33" customFormat="1" x14ac:dyDescent="0.25">
      <c r="A12" s="155">
        <v>2</v>
      </c>
      <c r="B12" s="156" t="s">
        <v>646</v>
      </c>
      <c r="C12" s="176"/>
      <c r="F12" s="157" t="s">
        <v>368</v>
      </c>
      <c r="G12" s="158" t="str" cm="1">
        <f t="array" ref="G12">IF(COUNTA(C$11:C$230)&gt;0,SUM(SUMIF(A$11:A$230,{2,4,7,9,15,19,20},C$11:C$230)),"")</f>
        <v/>
      </c>
      <c r="H12" s="159" t="s">
        <v>740</v>
      </c>
      <c r="I12" s="160" t="str" cm="1">
        <f t="array" ref="I12">_xlfn.IFS(G12="","",AND(0&lt;=G12, G12&lt;=3),"Normal",AND(4&lt;=G12, G12&lt;=5),"Mild",AND(6&lt;=G12, G12&lt;=7), "Moderate",AND(8&lt;=G12, G12&lt;=9), "Severe",10&lt;=G12,"Extremely severe")</f>
        <v/>
      </c>
      <c r="J12" s="161" t="s">
        <v>791</v>
      </c>
      <c r="K12" s="161" t="s">
        <v>1450</v>
      </c>
      <c r="AE12" s="62"/>
    </row>
    <row r="13" spans="1:31" s="33" customFormat="1" x14ac:dyDescent="0.25">
      <c r="A13" s="149">
        <v>3</v>
      </c>
      <c r="B13" s="33" t="s">
        <v>647</v>
      </c>
      <c r="C13" s="175"/>
      <c r="F13" s="162" t="s">
        <v>369</v>
      </c>
      <c r="G13" s="135" t="str" cm="1">
        <f t="array" ref="G13">IF(COUNTA(C$11:C$230)&gt;0,SUM(SUMIF(A$11:A$230,{1,6,8,11,12,14,18},C$11:C$230)),"")</f>
        <v/>
      </c>
      <c r="H13" s="163" t="s">
        <v>740</v>
      </c>
      <c r="I13" s="164" t="str" cm="1">
        <f t="array" ref="I13">_xlfn.IFS(G13="","",AND(0&lt;=G13, G13&lt;=7),"Normal",AND(8&lt;=G13, G13&lt;=9),"Mild",AND(10&lt;=G13, G13&lt;=12), "Moderate",AND(13&lt;=G13, G13&lt;=16), "Severe",17&lt;=G13,"Extremely severe")</f>
        <v/>
      </c>
      <c r="J13" s="165" t="s">
        <v>792</v>
      </c>
      <c r="K13" s="165" t="s">
        <v>1451</v>
      </c>
      <c r="AE13" s="62"/>
    </row>
    <row r="14" spans="1:31" s="33" customFormat="1" x14ac:dyDescent="0.25">
      <c r="A14" s="155">
        <v>4</v>
      </c>
      <c r="B14" s="156" t="s">
        <v>1653</v>
      </c>
      <c r="C14" s="176"/>
      <c r="F14" s="28"/>
      <c r="G14" s="28"/>
      <c r="H14" s="28"/>
      <c r="I14" s="28"/>
      <c r="J14" s="28" t="s">
        <v>796</v>
      </c>
      <c r="AE14" s="62"/>
    </row>
    <row r="15" spans="1:31" s="33" customFormat="1" x14ac:dyDescent="0.25">
      <c r="A15" s="149">
        <v>5</v>
      </c>
      <c r="B15" s="33" t="s">
        <v>648</v>
      </c>
      <c r="C15" s="175"/>
      <c r="F15" s="28"/>
      <c r="G15" s="28"/>
      <c r="H15" s="28"/>
      <c r="I15" s="28"/>
      <c r="J15" s="28"/>
      <c r="AE15" s="62"/>
    </row>
    <row r="16" spans="1:31" s="33" customFormat="1" ht="21" x14ac:dyDescent="0.35">
      <c r="A16" s="155">
        <v>6</v>
      </c>
      <c r="B16" s="156" t="s">
        <v>649</v>
      </c>
      <c r="C16" s="176"/>
      <c r="F16" s="166" t="s">
        <v>237</v>
      </c>
      <c r="G16" s="132"/>
      <c r="H16" s="132"/>
      <c r="I16" s="132"/>
      <c r="J16" s="132"/>
      <c r="K16" s="132"/>
      <c r="AE16" s="62"/>
    </row>
    <row r="17" spans="1:31" s="33" customFormat="1" x14ac:dyDescent="0.25">
      <c r="A17" s="149">
        <v>7</v>
      </c>
      <c r="B17" s="33" t="s">
        <v>650</v>
      </c>
      <c r="C17" s="175"/>
      <c r="F17" s="33" t="s">
        <v>366</v>
      </c>
      <c r="G17" s="28"/>
      <c r="H17" s="28"/>
      <c r="I17" s="28"/>
      <c r="J17" s="28"/>
      <c r="AE17" s="62"/>
    </row>
    <row r="18" spans="1:31" s="33" customFormat="1" x14ac:dyDescent="0.25">
      <c r="A18" s="155">
        <v>8</v>
      </c>
      <c r="B18" s="156" t="s">
        <v>651</v>
      </c>
      <c r="C18" s="176"/>
      <c r="G18" s="28"/>
      <c r="H18" s="28"/>
      <c r="I18" s="28"/>
      <c r="J18" s="28"/>
      <c r="AE18" s="62"/>
    </row>
    <row r="19" spans="1:31" s="33" customFormat="1" x14ac:dyDescent="0.25">
      <c r="A19" s="149">
        <v>9</v>
      </c>
      <c r="B19" s="33" t="s">
        <v>652</v>
      </c>
      <c r="C19" s="175"/>
      <c r="F19" s="51" t="s">
        <v>150</v>
      </c>
      <c r="G19" s="28"/>
      <c r="H19" s="28"/>
      <c r="I19" s="28"/>
      <c r="J19" s="28"/>
      <c r="AE19" s="62"/>
    </row>
    <row r="20" spans="1:31" s="33" customFormat="1" x14ac:dyDescent="0.25">
      <c r="A20" s="155">
        <v>10</v>
      </c>
      <c r="B20" s="156" t="s">
        <v>653</v>
      </c>
      <c r="C20" s="176"/>
      <c r="F20" s="167" t="s">
        <v>1162</v>
      </c>
      <c r="G20" s="28"/>
      <c r="H20" s="28"/>
      <c r="I20" s="28"/>
      <c r="J20" s="28"/>
      <c r="AE20" s="62"/>
    </row>
    <row r="21" spans="1:31" s="33" customFormat="1" x14ac:dyDescent="0.25">
      <c r="A21" s="149">
        <v>11</v>
      </c>
      <c r="B21" s="33" t="s">
        <v>654</v>
      </c>
      <c r="C21" s="175"/>
      <c r="F21" s="167" t="s">
        <v>1163</v>
      </c>
      <c r="G21" s="28"/>
      <c r="H21" s="28"/>
      <c r="I21" s="28"/>
      <c r="J21" s="28"/>
      <c r="AE21" s="62"/>
    </row>
    <row r="22" spans="1:31" s="33" customFormat="1" x14ac:dyDescent="0.25">
      <c r="A22" s="155">
        <v>12</v>
      </c>
      <c r="B22" s="156" t="s">
        <v>655</v>
      </c>
      <c r="C22" s="176"/>
      <c r="F22" s="167" t="s">
        <v>1164</v>
      </c>
      <c r="G22" s="28"/>
      <c r="H22" s="28"/>
      <c r="I22" s="28"/>
      <c r="J22" s="28"/>
      <c r="AE22" s="62"/>
    </row>
    <row r="23" spans="1:31" s="33" customFormat="1" x14ac:dyDescent="0.25">
      <c r="A23" s="149">
        <v>13</v>
      </c>
      <c r="B23" s="33" t="s">
        <v>656</v>
      </c>
      <c r="C23" s="175"/>
      <c r="AE23" s="62"/>
    </row>
    <row r="24" spans="1:31" s="33" customFormat="1" x14ac:dyDescent="0.25">
      <c r="A24" s="155">
        <v>14</v>
      </c>
      <c r="B24" s="156" t="s">
        <v>657</v>
      </c>
      <c r="C24" s="176"/>
      <c r="F24" s="28"/>
      <c r="G24" s="28"/>
      <c r="H24" s="28"/>
      <c r="I24" s="28"/>
      <c r="J24" s="28"/>
      <c r="AE24" s="62"/>
    </row>
    <row r="25" spans="1:31" s="33" customFormat="1" x14ac:dyDescent="0.25">
      <c r="A25" s="149">
        <v>15</v>
      </c>
      <c r="B25" s="33" t="s">
        <v>658</v>
      </c>
      <c r="C25" s="175"/>
      <c r="F25" s="28"/>
      <c r="G25" s="28"/>
      <c r="H25" s="28"/>
      <c r="I25" s="28"/>
      <c r="J25" s="28"/>
      <c r="AE25" s="62"/>
    </row>
    <row r="26" spans="1:31" s="33" customFormat="1" x14ac:dyDescent="0.25">
      <c r="A26" s="155">
        <v>16</v>
      </c>
      <c r="B26" s="156" t="s">
        <v>659</v>
      </c>
      <c r="C26" s="176"/>
      <c r="F26" s="28"/>
      <c r="G26" s="28"/>
      <c r="H26" s="28"/>
      <c r="I26" s="28"/>
      <c r="J26" s="28"/>
      <c r="AE26" s="62"/>
    </row>
    <row r="27" spans="1:31" ht="21" x14ac:dyDescent="0.35">
      <c r="A27" s="149">
        <v>17</v>
      </c>
      <c r="B27" s="33" t="s">
        <v>660</v>
      </c>
      <c r="C27" s="175"/>
      <c r="F27" s="168"/>
    </row>
    <row r="28" spans="1:31" x14ac:dyDescent="0.3">
      <c r="A28" s="155">
        <v>18</v>
      </c>
      <c r="B28" s="156" t="s">
        <v>661</v>
      </c>
      <c r="C28" s="176"/>
      <c r="F28" s="33"/>
    </row>
    <row r="29" spans="1:31" ht="31.5" x14ac:dyDescent="0.3">
      <c r="A29" s="149">
        <v>19</v>
      </c>
      <c r="B29" s="70" t="s">
        <v>1655</v>
      </c>
      <c r="C29" s="175"/>
      <c r="F29" s="33"/>
    </row>
    <row r="30" spans="1:31" x14ac:dyDescent="0.3">
      <c r="A30" s="155">
        <v>20</v>
      </c>
      <c r="B30" s="156" t="s">
        <v>662</v>
      </c>
      <c r="C30" s="176"/>
      <c r="F30" s="51"/>
    </row>
    <row r="31" spans="1:31" ht="20.25" thickBot="1" x14ac:dyDescent="0.35">
      <c r="A31" s="136">
        <v>21</v>
      </c>
      <c r="B31" s="169" t="s">
        <v>663</v>
      </c>
      <c r="C31" s="178"/>
      <c r="F31" s="101"/>
    </row>
    <row r="32" spans="1:31" x14ac:dyDescent="0.3">
      <c r="F32" s="101"/>
    </row>
    <row r="33" spans="1:6" x14ac:dyDescent="0.3">
      <c r="F33" s="101"/>
    </row>
    <row r="34" spans="1:6" x14ac:dyDescent="0.3">
      <c r="A34" s="131"/>
      <c r="B34" s="170" t="s">
        <v>797</v>
      </c>
      <c r="C34" s="131"/>
      <c r="F34" s="101"/>
    </row>
    <row r="35" spans="1:6" ht="32.25" x14ac:dyDescent="0.3">
      <c r="B35" s="171" t="s">
        <v>844</v>
      </c>
    </row>
  </sheetData>
  <sheetProtection algorithmName="SHA-512" hashValue="2UM56ILCCFySSjozb0TQ+LK5ZjByxGQsXv+tUj3DEPl4A8fWW+IRw05erREKf+I8aNCK16kfN+UrgJUucFCiDQ==" saltValue="qp/o743rYaYYkLTgqG+JVg==" spinCount="100000" sheet="1" objects="1" scenarios="1"/>
  <mergeCells count="2">
    <mergeCell ref="A6:C6"/>
    <mergeCell ref="A7:C7"/>
  </mergeCells>
  <dataValidations count="1">
    <dataValidation type="list" allowBlank="1" showInputMessage="1" showErrorMessage="1" sqref="C11:C31" xr:uid="{6D6B21DD-4911-8346-B8A5-06DAA9E5149E}">
      <formula1>"0,1,2,3"</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2911A-0AEA-0048-9E67-6293F5380DAE}">
  <sheetPr>
    <tabColor theme="5"/>
  </sheetPr>
  <dimension ref="A1:AE56"/>
  <sheetViews>
    <sheetView workbookViewId="0">
      <selection activeCell="C11" sqref="C11"/>
    </sheetView>
  </sheetViews>
  <sheetFormatPr defaultColWidth="10.875" defaultRowHeight="19.5" x14ac:dyDescent="0.3"/>
  <cols>
    <col min="1" max="1" width="8.375" style="28" customWidth="1"/>
    <col min="2" max="2" width="106" style="28" customWidth="1"/>
    <col min="3" max="3" width="12.5" style="28" customWidth="1"/>
    <col min="4" max="5" width="10.875" style="28"/>
    <col min="6" max="6" width="54.125" style="28" customWidth="1"/>
    <col min="7" max="8" width="12.5" style="28" customWidth="1"/>
    <col min="9" max="9" width="15.125" style="28" bestFit="1" customWidth="1"/>
    <col min="10" max="10" width="214.625" style="28" bestFit="1" customWidth="1"/>
    <col min="11" max="11" width="41"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172" t="s">
        <v>906</v>
      </c>
      <c r="F3" s="130"/>
      <c r="G3" s="130"/>
      <c r="H3" s="130"/>
      <c r="I3" s="130"/>
      <c r="J3" s="130"/>
      <c r="AE3" s="61"/>
    </row>
    <row r="5" spans="1:31" x14ac:dyDescent="0.3">
      <c r="A5" s="131" t="s">
        <v>818</v>
      </c>
      <c r="B5" s="132"/>
      <c r="C5" s="132"/>
    </row>
    <row r="6" spans="1:31" s="133" customFormat="1" ht="35.1" customHeight="1" x14ac:dyDescent="0.25">
      <c r="A6" s="339" t="s">
        <v>364</v>
      </c>
      <c r="B6" s="340"/>
      <c r="C6" s="341"/>
      <c r="AE6" s="134"/>
    </row>
    <row r="7" spans="1:31" s="133" customFormat="1" x14ac:dyDescent="0.25">
      <c r="A7" s="342" t="s">
        <v>365</v>
      </c>
      <c r="B7" s="343"/>
      <c r="C7" s="344"/>
      <c r="AE7" s="134"/>
    </row>
    <row r="8" spans="1:31" ht="20.25" thickBot="1" x14ac:dyDescent="0.35"/>
    <row r="9" spans="1:31" x14ac:dyDescent="0.3">
      <c r="A9" s="138"/>
      <c r="B9" s="139"/>
      <c r="C9" s="140"/>
      <c r="F9" s="139" t="s">
        <v>132</v>
      </c>
      <c r="G9" s="141"/>
      <c r="H9" s="142" t="s">
        <v>362</v>
      </c>
      <c r="I9" s="143"/>
      <c r="J9" s="139"/>
      <c r="K9" s="139"/>
    </row>
    <row r="10" spans="1:31" ht="75" x14ac:dyDescent="0.3">
      <c r="A10" s="144" t="s">
        <v>1</v>
      </c>
      <c r="B10" s="144" t="s">
        <v>2</v>
      </c>
      <c r="C10" s="145" t="s">
        <v>821</v>
      </c>
      <c r="F10" s="146" t="s">
        <v>133</v>
      </c>
      <c r="G10" s="147" t="s">
        <v>134</v>
      </c>
      <c r="H10" s="147" t="s">
        <v>135</v>
      </c>
      <c r="I10" s="148" t="s">
        <v>317</v>
      </c>
      <c r="J10" s="146" t="s">
        <v>136</v>
      </c>
      <c r="K10" s="146" t="s">
        <v>1448</v>
      </c>
    </row>
    <row r="11" spans="1:31" s="33" customFormat="1" x14ac:dyDescent="0.25">
      <c r="A11" s="149">
        <v>1</v>
      </c>
      <c r="B11" s="33" t="s">
        <v>907</v>
      </c>
      <c r="C11" s="175"/>
      <c r="F11" s="150" t="s">
        <v>367</v>
      </c>
      <c r="G11" s="151" t="str" cm="1">
        <f t="array" ref="G11">IF(COUNTA(C$11:C$230)&gt;0,SUM(SUMIF(A$11:A$230,{3,5,10,13,16,17,21,24,26,31,34,37,38,42},C$11:C$230)),"")</f>
        <v/>
      </c>
      <c r="H11" s="152" t="s">
        <v>740</v>
      </c>
      <c r="I11" s="153" t="str" cm="1">
        <f t="array" ref="I11">_xlfn.IFS(G11="","",AND(0&lt;=G11, G11&lt;=9),"Normal",AND(10&lt;=G11, G11&lt;=13),"Mild",AND(14&lt;=G11, G11&lt;=20), "Moderate",AND(21&lt;=G11, G11&lt;=27), "Severe",28&lt;=G11,"Extremely severe")</f>
        <v/>
      </c>
      <c r="J11" s="154" t="s">
        <v>790</v>
      </c>
      <c r="K11" s="154" t="s">
        <v>1452</v>
      </c>
      <c r="AE11" s="62"/>
    </row>
    <row r="12" spans="1:31" s="33" customFormat="1" x14ac:dyDescent="0.25">
      <c r="A12" s="155">
        <v>2</v>
      </c>
      <c r="B12" s="156" t="s">
        <v>646</v>
      </c>
      <c r="C12" s="176"/>
      <c r="F12" s="157" t="s">
        <v>368</v>
      </c>
      <c r="G12" s="158" t="str" cm="1">
        <f t="array" ref="G12">IF(COUNTA(C$11:C$230)&gt;0,SUM(SUMIF(A$11:A$230,{2,4,7,9,15,19,20,23,25,28,30,36,40,41},C$11:C$230)),"")</f>
        <v/>
      </c>
      <c r="H12" s="159" t="s">
        <v>740</v>
      </c>
      <c r="I12" s="160" t="str" cm="1">
        <f t="array" ref="I12">_xlfn.IFS(G12="","",AND(0&lt;=G12, G12&lt;=7),"Normal",AND(8&lt;=G12, G12&lt;=9),"Mild",AND(10&lt;=G12, G12&lt;=14), "Moderate",AND(15&lt;=G12, G12&lt;=19), "Severe",20&lt;=G12,"Extremely severe")</f>
        <v/>
      </c>
      <c r="J12" s="161" t="s">
        <v>791</v>
      </c>
      <c r="K12" s="161" t="s">
        <v>1453</v>
      </c>
      <c r="AE12" s="62"/>
    </row>
    <row r="13" spans="1:31" s="33" customFormat="1" x14ac:dyDescent="0.25">
      <c r="A13" s="149">
        <v>3</v>
      </c>
      <c r="B13" s="33" t="s">
        <v>647</v>
      </c>
      <c r="C13" s="175"/>
      <c r="F13" s="162" t="s">
        <v>369</v>
      </c>
      <c r="G13" s="135" t="str" cm="1">
        <f t="array" ref="G13">IF(COUNTA(C$11:C$230)&gt;0,SUM(SUMIF(A$11:A$230,{1,6,8,11,12,14,18,22,27,29,32,33,35,39},C$11:C$230)),"")</f>
        <v/>
      </c>
      <c r="H13" s="163" t="s">
        <v>740</v>
      </c>
      <c r="I13" s="164" t="str" cm="1">
        <f t="array" ref="I13">_xlfn.IFS(G13="","",AND(0&lt;=G13, G13&lt;15),"Normal",AND(15&lt;=G13, G13&lt;=18),"Mild",AND(19&lt;=G13, G13&lt;=25), "Moderate",AND(26&lt;=G13, G13&lt;=33), "Severe",34&lt;=G13,"Extremely severe")</f>
        <v/>
      </c>
      <c r="J13" s="165" t="s">
        <v>792</v>
      </c>
      <c r="K13" s="165" t="s">
        <v>1454</v>
      </c>
      <c r="AE13" s="62"/>
    </row>
    <row r="14" spans="1:31" s="33" customFormat="1" x14ac:dyDescent="0.25">
      <c r="A14" s="155">
        <v>4</v>
      </c>
      <c r="B14" s="156" t="s">
        <v>908</v>
      </c>
      <c r="C14" s="176"/>
      <c r="F14" s="28"/>
      <c r="G14" s="28"/>
      <c r="H14" s="28"/>
      <c r="I14" s="28"/>
      <c r="J14" s="28" t="s">
        <v>796</v>
      </c>
      <c r="AE14" s="62"/>
    </row>
    <row r="15" spans="1:31" s="33" customFormat="1" x14ac:dyDescent="0.25">
      <c r="A15" s="149">
        <v>5</v>
      </c>
      <c r="B15" s="33" t="s">
        <v>909</v>
      </c>
      <c r="C15" s="175"/>
      <c r="F15" s="28"/>
      <c r="G15" s="28"/>
      <c r="H15" s="28"/>
      <c r="I15" s="28"/>
      <c r="J15" s="28"/>
      <c r="AE15" s="62"/>
    </row>
    <row r="16" spans="1:31" s="33" customFormat="1" ht="21" x14ac:dyDescent="0.35">
      <c r="A16" s="155">
        <v>6</v>
      </c>
      <c r="B16" s="156" t="s">
        <v>649</v>
      </c>
      <c r="C16" s="176"/>
      <c r="F16" s="166" t="s">
        <v>237</v>
      </c>
      <c r="G16" s="132"/>
      <c r="H16" s="132"/>
      <c r="I16" s="132"/>
      <c r="J16" s="132"/>
      <c r="K16" s="132"/>
      <c r="AE16" s="62"/>
    </row>
    <row r="17" spans="1:31" s="33" customFormat="1" x14ac:dyDescent="0.25">
      <c r="A17" s="149">
        <v>7</v>
      </c>
      <c r="B17" s="33" t="s">
        <v>910</v>
      </c>
      <c r="C17" s="175"/>
      <c r="F17" s="33" t="s">
        <v>366</v>
      </c>
      <c r="G17" s="28"/>
      <c r="H17" s="28"/>
      <c r="I17" s="28"/>
      <c r="J17" s="28"/>
      <c r="AE17" s="62"/>
    </row>
    <row r="18" spans="1:31" s="33" customFormat="1" x14ac:dyDescent="0.25">
      <c r="A18" s="155">
        <v>8</v>
      </c>
      <c r="B18" s="156" t="s">
        <v>655</v>
      </c>
      <c r="C18" s="176"/>
      <c r="G18" s="28"/>
      <c r="H18" s="28"/>
      <c r="I18" s="28"/>
      <c r="J18" s="28"/>
      <c r="AE18" s="62"/>
    </row>
    <row r="19" spans="1:31" s="33" customFormat="1" x14ac:dyDescent="0.25">
      <c r="A19" s="149">
        <v>9</v>
      </c>
      <c r="B19" s="33" t="s">
        <v>911</v>
      </c>
      <c r="C19" s="175"/>
      <c r="F19" s="51" t="s">
        <v>150</v>
      </c>
      <c r="G19" s="28"/>
      <c r="H19" s="28"/>
      <c r="I19" s="28"/>
      <c r="J19" s="28"/>
      <c r="AE19" s="62"/>
    </row>
    <row r="20" spans="1:31" s="33" customFormat="1" x14ac:dyDescent="0.25">
      <c r="A20" s="155">
        <v>10</v>
      </c>
      <c r="B20" s="156" t="s">
        <v>653</v>
      </c>
      <c r="C20" s="176"/>
      <c r="F20" s="101" t="s">
        <v>1165</v>
      </c>
      <c r="G20" s="28"/>
      <c r="H20" s="28"/>
      <c r="I20" s="28"/>
      <c r="J20" s="28"/>
      <c r="AE20" s="62"/>
    </row>
    <row r="21" spans="1:31" s="33" customFormat="1" x14ac:dyDescent="0.25">
      <c r="A21" s="149">
        <v>11</v>
      </c>
      <c r="B21" s="33" t="s">
        <v>912</v>
      </c>
      <c r="C21" s="175"/>
      <c r="F21" s="101" t="s">
        <v>1166</v>
      </c>
      <c r="G21" s="28"/>
      <c r="H21" s="28"/>
      <c r="I21" s="28"/>
      <c r="J21" s="28"/>
      <c r="AE21" s="62"/>
    </row>
    <row r="22" spans="1:31" s="33" customFormat="1" x14ac:dyDescent="0.25">
      <c r="A22" s="155">
        <v>12</v>
      </c>
      <c r="B22" s="156" t="s">
        <v>651</v>
      </c>
      <c r="C22" s="176"/>
      <c r="F22" s="101" t="s">
        <v>1167</v>
      </c>
      <c r="G22" s="28"/>
      <c r="H22" s="28"/>
      <c r="I22" s="28"/>
      <c r="J22" s="28"/>
      <c r="AE22" s="62"/>
    </row>
    <row r="23" spans="1:31" s="33" customFormat="1" x14ac:dyDescent="0.25">
      <c r="A23" s="149">
        <v>13</v>
      </c>
      <c r="B23" s="33" t="s">
        <v>913</v>
      </c>
      <c r="C23" s="175"/>
      <c r="AE23" s="62"/>
    </row>
    <row r="24" spans="1:31" s="33" customFormat="1" x14ac:dyDescent="0.25">
      <c r="A24" s="155">
        <v>14</v>
      </c>
      <c r="B24" s="156" t="s">
        <v>914</v>
      </c>
      <c r="C24" s="176"/>
      <c r="F24" s="28"/>
      <c r="G24" s="28"/>
      <c r="H24" s="28"/>
      <c r="I24" s="28"/>
      <c r="J24" s="28"/>
      <c r="AE24" s="62"/>
    </row>
    <row r="25" spans="1:31" s="33" customFormat="1" x14ac:dyDescent="0.25">
      <c r="A25" s="149">
        <v>15</v>
      </c>
      <c r="B25" s="33" t="s">
        <v>915</v>
      </c>
      <c r="C25" s="175"/>
      <c r="F25" s="28"/>
      <c r="G25" s="28"/>
      <c r="H25" s="28"/>
      <c r="I25" s="28"/>
      <c r="J25" s="28"/>
      <c r="AE25" s="62"/>
    </row>
    <row r="26" spans="1:31" s="33" customFormat="1" x14ac:dyDescent="0.25">
      <c r="A26" s="155">
        <v>16</v>
      </c>
      <c r="B26" s="156" t="s">
        <v>916</v>
      </c>
      <c r="C26" s="176"/>
      <c r="F26" s="28"/>
      <c r="G26" s="28"/>
      <c r="H26" s="28"/>
      <c r="I26" s="28"/>
      <c r="J26" s="28"/>
      <c r="AE26" s="62"/>
    </row>
    <row r="27" spans="1:31" ht="21" x14ac:dyDescent="0.35">
      <c r="A27" s="149">
        <v>17</v>
      </c>
      <c r="B27" s="33" t="s">
        <v>660</v>
      </c>
      <c r="C27" s="175"/>
      <c r="F27" s="168"/>
    </row>
    <row r="28" spans="1:31" x14ac:dyDescent="0.3">
      <c r="A28" s="155">
        <v>18</v>
      </c>
      <c r="B28" s="156" t="s">
        <v>661</v>
      </c>
      <c r="C28" s="176"/>
      <c r="F28" s="33"/>
    </row>
    <row r="29" spans="1:31" x14ac:dyDescent="0.3">
      <c r="A29" s="149">
        <v>19</v>
      </c>
      <c r="B29" s="33" t="s">
        <v>917</v>
      </c>
      <c r="C29" s="175"/>
      <c r="F29" s="33"/>
    </row>
    <row r="30" spans="1:31" x14ac:dyDescent="0.3">
      <c r="A30" s="155">
        <v>20</v>
      </c>
      <c r="B30" s="156" t="s">
        <v>662</v>
      </c>
      <c r="C30" s="176"/>
      <c r="F30" s="51"/>
    </row>
    <row r="31" spans="1:31" x14ac:dyDescent="0.3">
      <c r="A31" s="149">
        <v>21</v>
      </c>
      <c r="B31" s="33" t="s">
        <v>918</v>
      </c>
      <c r="C31" s="175"/>
      <c r="F31" s="101"/>
    </row>
    <row r="32" spans="1:31" x14ac:dyDescent="0.3">
      <c r="A32" s="155">
        <v>22</v>
      </c>
      <c r="B32" s="156" t="s">
        <v>645</v>
      </c>
      <c r="C32" s="176"/>
      <c r="F32" s="101"/>
    </row>
    <row r="33" spans="1:6" x14ac:dyDescent="0.3">
      <c r="A33" s="149">
        <v>23</v>
      </c>
      <c r="B33" s="33" t="s">
        <v>919</v>
      </c>
      <c r="C33" s="175"/>
      <c r="F33" s="101"/>
    </row>
    <row r="34" spans="1:6" x14ac:dyDescent="0.3">
      <c r="A34" s="155">
        <v>24</v>
      </c>
      <c r="B34" s="156" t="s">
        <v>920</v>
      </c>
      <c r="C34" s="176"/>
    </row>
    <row r="35" spans="1:6" x14ac:dyDescent="0.3">
      <c r="A35" s="149">
        <v>25</v>
      </c>
      <c r="B35" s="33" t="s">
        <v>921</v>
      </c>
      <c r="C35" s="175"/>
    </row>
    <row r="36" spans="1:6" x14ac:dyDescent="0.3">
      <c r="A36" s="155">
        <v>26</v>
      </c>
      <c r="B36" s="156" t="s">
        <v>656</v>
      </c>
      <c r="C36" s="176"/>
    </row>
    <row r="37" spans="1:6" x14ac:dyDescent="0.3">
      <c r="A37" s="149">
        <v>27</v>
      </c>
      <c r="B37" s="33" t="s">
        <v>922</v>
      </c>
      <c r="C37" s="175"/>
    </row>
    <row r="38" spans="1:6" x14ac:dyDescent="0.3">
      <c r="A38" s="155">
        <v>28</v>
      </c>
      <c r="B38" s="156" t="s">
        <v>658</v>
      </c>
      <c r="C38" s="176"/>
    </row>
    <row r="39" spans="1:6" x14ac:dyDescent="0.3">
      <c r="A39" s="149">
        <v>29</v>
      </c>
      <c r="B39" s="33" t="s">
        <v>923</v>
      </c>
      <c r="C39" s="175"/>
    </row>
    <row r="40" spans="1:6" x14ac:dyDescent="0.3">
      <c r="A40" s="155">
        <v>30</v>
      </c>
      <c r="B40" s="156" t="s">
        <v>924</v>
      </c>
      <c r="C40" s="176"/>
    </row>
    <row r="41" spans="1:6" x14ac:dyDescent="0.3">
      <c r="A41" s="149">
        <v>31</v>
      </c>
      <c r="B41" s="33" t="s">
        <v>659</v>
      </c>
      <c r="C41" s="175"/>
    </row>
    <row r="42" spans="1:6" x14ac:dyDescent="0.3">
      <c r="A42" s="155">
        <v>32</v>
      </c>
      <c r="B42" s="156" t="s">
        <v>925</v>
      </c>
      <c r="C42" s="176"/>
    </row>
    <row r="43" spans="1:6" x14ac:dyDescent="0.3">
      <c r="A43" s="149">
        <v>33</v>
      </c>
      <c r="B43" s="33" t="s">
        <v>926</v>
      </c>
      <c r="C43" s="175"/>
    </row>
    <row r="44" spans="1:6" x14ac:dyDescent="0.3">
      <c r="A44" s="155">
        <v>34</v>
      </c>
      <c r="B44" s="156" t="s">
        <v>927</v>
      </c>
      <c r="C44" s="176"/>
    </row>
    <row r="45" spans="1:6" x14ac:dyDescent="0.3">
      <c r="A45" s="149">
        <v>35</v>
      </c>
      <c r="B45" s="33" t="s">
        <v>657</v>
      </c>
      <c r="C45" s="175"/>
    </row>
    <row r="46" spans="1:6" x14ac:dyDescent="0.3">
      <c r="A46" s="155">
        <v>36</v>
      </c>
      <c r="B46" s="156" t="s">
        <v>928</v>
      </c>
      <c r="C46" s="176"/>
    </row>
    <row r="47" spans="1:6" x14ac:dyDescent="0.3">
      <c r="A47" s="149">
        <v>37</v>
      </c>
      <c r="B47" s="33" t="s">
        <v>929</v>
      </c>
      <c r="C47" s="175"/>
    </row>
    <row r="48" spans="1:6" x14ac:dyDescent="0.3">
      <c r="A48" s="155">
        <v>38</v>
      </c>
      <c r="B48" s="156" t="s">
        <v>663</v>
      </c>
      <c r="C48" s="176"/>
    </row>
    <row r="49" spans="1:3" x14ac:dyDescent="0.3">
      <c r="A49" s="149">
        <v>39</v>
      </c>
      <c r="B49" s="33" t="s">
        <v>654</v>
      </c>
      <c r="C49" s="175"/>
    </row>
    <row r="50" spans="1:3" x14ac:dyDescent="0.3">
      <c r="A50" s="155">
        <v>40</v>
      </c>
      <c r="B50" s="156" t="s">
        <v>652</v>
      </c>
      <c r="C50" s="176"/>
    </row>
    <row r="51" spans="1:3" x14ac:dyDescent="0.3">
      <c r="A51" s="149">
        <v>41</v>
      </c>
      <c r="B51" s="33" t="s">
        <v>930</v>
      </c>
      <c r="C51" s="175"/>
    </row>
    <row r="52" spans="1:3" ht="20.25" thickBot="1" x14ac:dyDescent="0.35">
      <c r="A52" s="173">
        <v>42</v>
      </c>
      <c r="B52" s="174" t="s">
        <v>648</v>
      </c>
      <c r="C52" s="177"/>
    </row>
    <row r="55" spans="1:3" x14ac:dyDescent="0.3">
      <c r="A55" s="131"/>
      <c r="B55" s="170" t="s">
        <v>797</v>
      </c>
      <c r="C55" s="131"/>
    </row>
    <row r="56" spans="1:3" ht="32.25" x14ac:dyDescent="0.3">
      <c r="B56" s="171" t="s">
        <v>844</v>
      </c>
    </row>
  </sheetData>
  <sheetProtection algorithmName="SHA-512" hashValue="jwddHwZ9cw2fOoyMxPe3k/nbIYxiBW3jAT1rvfxTthxgWWL9hInnu+JDN8GPwtBmEx3YTnCc3dF0F3jPTctdLQ==" saltValue="uNoA+7XUofTsHXrOBrUUuw==" spinCount="100000" sheet="1" objects="1" scenarios="1"/>
  <mergeCells count="2">
    <mergeCell ref="A6:C6"/>
    <mergeCell ref="A7:C7"/>
  </mergeCells>
  <dataValidations count="1">
    <dataValidation type="list" allowBlank="1" showInputMessage="1" showErrorMessage="1" sqref="C11:C52" xr:uid="{81DA3D8A-4099-8E41-BB9E-28416356E8C4}">
      <formula1>"0,1,2,3"</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33619-5398-AD49-BFD6-B538F48C924F}">
  <sheetPr>
    <tabColor theme="5"/>
  </sheetPr>
  <dimension ref="A1:AE37"/>
  <sheetViews>
    <sheetView workbookViewId="0">
      <selection activeCell="C11" sqref="C11"/>
    </sheetView>
  </sheetViews>
  <sheetFormatPr defaultColWidth="10.875" defaultRowHeight="19.5" x14ac:dyDescent="0.3"/>
  <cols>
    <col min="1" max="1" width="8.375" style="28" customWidth="1"/>
    <col min="2" max="2" width="106" style="28" customWidth="1"/>
    <col min="3" max="3" width="12.5" style="28" customWidth="1"/>
    <col min="4" max="5" width="10.875" style="28"/>
    <col min="6" max="6" width="54.125" style="28" customWidth="1"/>
    <col min="7" max="9" width="12.5" style="28" customWidth="1"/>
    <col min="10" max="10" width="61.625" style="28" bestFit="1" customWidth="1"/>
    <col min="11" max="11" width="21.5"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172" t="s">
        <v>664</v>
      </c>
      <c r="F3" s="130"/>
      <c r="G3" s="130"/>
      <c r="H3" s="130"/>
      <c r="I3" s="130"/>
      <c r="J3" s="130"/>
      <c r="AE3" s="61"/>
    </row>
    <row r="5" spans="1:31" x14ac:dyDescent="0.3">
      <c r="A5" s="131" t="s">
        <v>818</v>
      </c>
      <c r="B5" s="132"/>
      <c r="C5" s="132"/>
    </row>
    <row r="6" spans="1:31" s="133" customFormat="1" x14ac:dyDescent="0.25">
      <c r="A6" s="345" t="s">
        <v>665</v>
      </c>
      <c r="B6" s="346"/>
      <c r="C6" s="347"/>
      <c r="AE6" s="134"/>
    </row>
    <row r="7" spans="1:31" s="133" customFormat="1" x14ac:dyDescent="0.25">
      <c r="A7" s="342" t="s">
        <v>666</v>
      </c>
      <c r="B7" s="343"/>
      <c r="C7" s="344"/>
      <c r="AE7" s="134"/>
    </row>
    <row r="8" spans="1:31" ht="20.25" thickBot="1" x14ac:dyDescent="0.35"/>
    <row r="9" spans="1:31" x14ac:dyDescent="0.3">
      <c r="A9" s="138"/>
      <c r="B9" s="139"/>
      <c r="C9" s="140"/>
      <c r="F9" s="139" t="s">
        <v>132</v>
      </c>
      <c r="G9" s="141"/>
      <c r="H9" s="142" t="s">
        <v>677</v>
      </c>
      <c r="I9" s="143"/>
      <c r="J9" s="139"/>
      <c r="K9" s="139"/>
    </row>
    <row r="10" spans="1:31" ht="75" x14ac:dyDescent="0.3">
      <c r="A10" s="144" t="s">
        <v>1</v>
      </c>
      <c r="B10" s="144" t="s">
        <v>2</v>
      </c>
      <c r="C10" s="145" t="s">
        <v>820</v>
      </c>
      <c r="F10" s="146" t="s">
        <v>138</v>
      </c>
      <c r="G10" s="147" t="s">
        <v>134</v>
      </c>
      <c r="H10" s="147" t="s">
        <v>135</v>
      </c>
      <c r="I10" s="148" t="s">
        <v>317</v>
      </c>
      <c r="J10" s="146" t="s">
        <v>136</v>
      </c>
      <c r="K10" s="146" t="s">
        <v>1448</v>
      </c>
    </row>
    <row r="11" spans="1:31" s="33" customFormat="1" x14ac:dyDescent="0.25">
      <c r="A11" s="149">
        <v>1</v>
      </c>
      <c r="B11" s="33" t="s">
        <v>667</v>
      </c>
      <c r="C11" s="175"/>
      <c r="F11" s="8" t="s">
        <v>279</v>
      </c>
      <c r="G11" s="180" t="str" cm="1">
        <f t="array" ref="G11">IF(COUNTA(C$11:C$230)&gt;0,SUM(SUMIF(A$11:A$230,{1,2,3,4,5,6,7,8,9,10},C$11:C$230)),"")</f>
        <v/>
      </c>
      <c r="H11" s="181" t="s">
        <v>740</v>
      </c>
      <c r="I11" s="182" t="str" cm="1">
        <f t="array" ref="I11">_xlfn.IFS(OR(G11="", G11&lt;=9),"",AND(10&lt;=G11,G11&lt;=15),"Low",AND(16&lt;=G11,G11&lt;=21),"Moderate",AND(22&lt;=G11,G11&lt;=29),"High",G11&gt;=30,"Very High")</f>
        <v/>
      </c>
      <c r="J11" s="183" t="s">
        <v>793</v>
      </c>
      <c r="K11" s="183" t="s">
        <v>1455</v>
      </c>
      <c r="AE11" s="62"/>
    </row>
    <row r="12" spans="1:31" s="33" customFormat="1" x14ac:dyDescent="0.25">
      <c r="A12" s="155">
        <v>2</v>
      </c>
      <c r="B12" s="156" t="s">
        <v>668</v>
      </c>
      <c r="C12" s="176"/>
      <c r="AE12" s="62"/>
    </row>
    <row r="13" spans="1:31" s="33" customFormat="1" x14ac:dyDescent="0.25">
      <c r="A13" s="149">
        <v>3</v>
      </c>
      <c r="B13" s="33" t="s">
        <v>669</v>
      </c>
      <c r="C13" s="175"/>
      <c r="AE13" s="62"/>
    </row>
    <row r="14" spans="1:31" s="33" customFormat="1" ht="21" x14ac:dyDescent="0.35">
      <c r="A14" s="155">
        <v>4</v>
      </c>
      <c r="B14" s="156" t="s">
        <v>676</v>
      </c>
      <c r="C14" s="176"/>
      <c r="F14" s="166" t="s">
        <v>237</v>
      </c>
      <c r="G14" s="132"/>
      <c r="H14" s="132"/>
      <c r="I14" s="132"/>
      <c r="J14" s="132"/>
      <c r="K14" s="132"/>
      <c r="AE14" s="62"/>
    </row>
    <row r="15" spans="1:31" s="33" customFormat="1" x14ac:dyDescent="0.25">
      <c r="A15" s="149">
        <v>5</v>
      </c>
      <c r="B15" s="33" t="s">
        <v>675</v>
      </c>
      <c r="C15" s="175"/>
      <c r="F15" s="184" t="s">
        <v>783</v>
      </c>
      <c r="G15" s="28"/>
      <c r="H15" s="28"/>
      <c r="I15" s="28"/>
      <c r="J15" s="28"/>
      <c r="K15" s="28"/>
      <c r="AE15" s="62"/>
    </row>
    <row r="16" spans="1:31" s="33" customFormat="1" x14ac:dyDescent="0.25">
      <c r="A16" s="155">
        <v>6</v>
      </c>
      <c r="B16" s="156" t="s">
        <v>674</v>
      </c>
      <c r="C16" s="176"/>
      <c r="G16" s="28"/>
      <c r="H16" s="28"/>
      <c r="I16" s="28"/>
      <c r="J16" s="28"/>
      <c r="K16" s="28"/>
      <c r="AE16" s="62"/>
    </row>
    <row r="17" spans="1:31" s="33" customFormat="1" x14ac:dyDescent="0.25">
      <c r="A17" s="149">
        <v>7</v>
      </c>
      <c r="B17" s="33" t="s">
        <v>673</v>
      </c>
      <c r="C17" s="175"/>
      <c r="F17" s="51" t="s">
        <v>150</v>
      </c>
      <c r="G17" s="28"/>
      <c r="H17" s="28"/>
      <c r="I17" s="28"/>
      <c r="J17" s="28"/>
      <c r="K17" s="28"/>
      <c r="AE17" s="62"/>
    </row>
    <row r="18" spans="1:31" s="33" customFormat="1" x14ac:dyDescent="0.25">
      <c r="A18" s="155">
        <v>8</v>
      </c>
      <c r="B18" s="156" t="s">
        <v>672</v>
      </c>
      <c r="C18" s="176"/>
      <c r="F18" s="185" t="s">
        <v>701</v>
      </c>
      <c r="G18" s="28"/>
      <c r="H18" s="28"/>
      <c r="I18" s="28"/>
      <c r="J18" s="28"/>
      <c r="K18" s="28"/>
      <c r="AE18" s="62"/>
    </row>
    <row r="19" spans="1:31" s="33" customFormat="1" x14ac:dyDescent="0.25">
      <c r="A19" s="149">
        <v>9</v>
      </c>
      <c r="B19" s="33" t="s">
        <v>671</v>
      </c>
      <c r="C19" s="175"/>
      <c r="F19" s="185" t="s">
        <v>702</v>
      </c>
      <c r="G19" s="28"/>
      <c r="H19" s="28"/>
      <c r="I19" s="28"/>
      <c r="J19" s="28"/>
      <c r="K19" s="28"/>
      <c r="AE19" s="62"/>
    </row>
    <row r="20" spans="1:31" s="33" customFormat="1" ht="20.25" thickBot="1" x14ac:dyDescent="0.3">
      <c r="A20" s="173">
        <v>10</v>
      </c>
      <c r="B20" s="174" t="s">
        <v>670</v>
      </c>
      <c r="C20" s="177"/>
      <c r="F20" s="185" t="s">
        <v>703</v>
      </c>
      <c r="G20" s="28"/>
      <c r="H20" s="28"/>
      <c r="I20" s="28"/>
      <c r="J20" s="28"/>
      <c r="K20" s="28"/>
      <c r="AE20" s="62"/>
    </row>
    <row r="21" spans="1:31" s="33" customFormat="1" x14ac:dyDescent="0.25">
      <c r="A21" s="28"/>
      <c r="B21" s="28"/>
      <c r="C21" s="28"/>
      <c r="F21" s="185" t="s">
        <v>704</v>
      </c>
      <c r="G21" s="28"/>
      <c r="H21" s="28"/>
      <c r="I21" s="28"/>
      <c r="J21" s="28"/>
      <c r="K21" s="28"/>
      <c r="AE21" s="62"/>
    </row>
    <row r="22" spans="1:31" s="33" customFormat="1" x14ac:dyDescent="0.25">
      <c r="A22" s="28"/>
      <c r="B22" s="28"/>
      <c r="C22" s="28"/>
      <c r="AE22" s="62"/>
    </row>
    <row r="23" spans="1:31" s="33" customFormat="1" x14ac:dyDescent="0.3">
      <c r="A23" s="131"/>
      <c r="B23" s="170" t="s">
        <v>797</v>
      </c>
      <c r="C23" s="131"/>
      <c r="AE23" s="62"/>
    </row>
    <row r="24" spans="1:31" s="33" customFormat="1" ht="31.5" x14ac:dyDescent="0.25">
      <c r="A24" s="28"/>
      <c r="B24" s="186" t="s">
        <v>806</v>
      </c>
      <c r="C24" s="28"/>
      <c r="AE24" s="62"/>
    </row>
    <row r="25" spans="1:31" s="33" customFormat="1" x14ac:dyDescent="0.25">
      <c r="A25" s="28"/>
      <c r="B25" s="28"/>
      <c r="C25" s="28"/>
      <c r="F25" s="28"/>
      <c r="G25" s="28"/>
      <c r="H25" s="28"/>
      <c r="I25" s="28"/>
      <c r="J25" s="28"/>
      <c r="K25" s="28"/>
      <c r="AE25" s="62"/>
    </row>
    <row r="26" spans="1:31" s="33" customFormat="1" x14ac:dyDescent="0.25">
      <c r="A26" s="28"/>
      <c r="B26" s="28"/>
      <c r="C26" s="28"/>
      <c r="F26" s="28"/>
      <c r="G26" s="28"/>
      <c r="H26" s="28"/>
      <c r="I26" s="28"/>
      <c r="J26" s="28"/>
      <c r="K26" s="28"/>
      <c r="AE26" s="62"/>
    </row>
    <row r="27" spans="1:31" s="33" customFormat="1" x14ac:dyDescent="0.25">
      <c r="A27" s="28"/>
      <c r="B27" s="28"/>
      <c r="C27" s="28"/>
      <c r="F27" s="28"/>
      <c r="G27" s="28"/>
      <c r="H27" s="28"/>
      <c r="I27" s="28"/>
      <c r="J27" s="28"/>
      <c r="K27" s="28"/>
      <c r="AE27" s="62"/>
    </row>
    <row r="28" spans="1:31" ht="21" x14ac:dyDescent="0.35">
      <c r="F28" s="168"/>
    </row>
    <row r="29" spans="1:31" x14ac:dyDescent="0.3">
      <c r="F29" s="184"/>
    </row>
    <row r="30" spans="1:31" x14ac:dyDescent="0.3">
      <c r="F30" s="33"/>
    </row>
    <row r="31" spans="1:31" x14ac:dyDescent="0.3">
      <c r="F31" s="51"/>
    </row>
    <row r="32" spans="1:31" x14ac:dyDescent="0.3">
      <c r="F32" s="185"/>
    </row>
    <row r="33" spans="6:6" x14ac:dyDescent="0.3">
      <c r="F33" s="185"/>
    </row>
    <row r="34" spans="6:6" x14ac:dyDescent="0.3">
      <c r="F34" s="185"/>
    </row>
    <row r="35" spans="6:6" x14ac:dyDescent="0.3">
      <c r="F35" s="185"/>
    </row>
    <row r="37" spans="6:6" x14ac:dyDescent="0.3">
      <c r="F37" s="187"/>
    </row>
  </sheetData>
  <sheetProtection algorithmName="SHA-512" hashValue="v2eb1Ib/ATYpQujWMX9Qe7jM5vdvMDberojbVr43jz2TMoOcAKgKQrUVOO8bErvrZQXMg15PsxT+qw4wKV5sJA==" saltValue="FUcA7Ejmr6zFo9o7qd+b4A==" spinCount="100000" sheet="1" objects="1" scenarios="1"/>
  <mergeCells count="2">
    <mergeCell ref="A6:C6"/>
    <mergeCell ref="A7:C7"/>
  </mergeCells>
  <dataValidations count="1">
    <dataValidation type="list" allowBlank="1" showInputMessage="1" showErrorMessage="1" sqref="C11:C20" xr:uid="{B18F8ED7-3D10-0242-A6D6-4C45F1C63EA5}">
      <formula1>"1,2,3,4,5"</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23DE0-685C-3A4A-B118-EC2F4BE60012}">
  <sheetPr>
    <tabColor theme="5"/>
  </sheetPr>
  <dimension ref="A1:AE37"/>
  <sheetViews>
    <sheetView workbookViewId="0">
      <selection activeCell="C11" sqref="C11"/>
    </sheetView>
  </sheetViews>
  <sheetFormatPr defaultColWidth="10.875" defaultRowHeight="19.5" x14ac:dyDescent="0.3"/>
  <cols>
    <col min="1" max="1" width="8.375" style="28" customWidth="1"/>
    <col min="2" max="2" width="106" style="28" customWidth="1"/>
    <col min="3" max="3" width="12.5" style="28" customWidth="1"/>
    <col min="4" max="5" width="10.875" style="28"/>
    <col min="6" max="6" width="54.125" style="28" customWidth="1"/>
    <col min="7" max="9" width="12.5" style="28" customWidth="1"/>
    <col min="10" max="10" width="26.875" style="28" bestFit="1" customWidth="1"/>
    <col min="11" max="11" width="19.375"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172" t="s">
        <v>710</v>
      </c>
      <c r="F3" s="130"/>
      <c r="G3" s="130"/>
      <c r="H3" s="130"/>
      <c r="I3" s="130"/>
      <c r="J3" s="130"/>
      <c r="AE3" s="61"/>
    </row>
    <row r="5" spans="1:31" x14ac:dyDescent="0.3">
      <c r="A5" s="131" t="s">
        <v>818</v>
      </c>
      <c r="B5" s="132"/>
      <c r="C5" s="132"/>
    </row>
    <row r="6" spans="1:31" s="133" customFormat="1" x14ac:dyDescent="0.25">
      <c r="A6" s="345" t="s">
        <v>681</v>
      </c>
      <c r="B6" s="346"/>
      <c r="C6" s="347"/>
      <c r="AE6" s="134"/>
    </row>
    <row r="7" spans="1:31" s="133" customFormat="1" x14ac:dyDescent="0.25">
      <c r="A7" s="342" t="s">
        <v>682</v>
      </c>
      <c r="B7" s="343"/>
      <c r="C7" s="344"/>
      <c r="AE7" s="134"/>
    </row>
    <row r="8" spans="1:31" ht="20.25" thickBot="1" x14ac:dyDescent="0.35"/>
    <row r="9" spans="1:31" x14ac:dyDescent="0.3">
      <c r="A9" s="138"/>
      <c r="B9" s="139"/>
      <c r="C9" s="140"/>
      <c r="F9" s="139" t="s">
        <v>132</v>
      </c>
      <c r="G9" s="141"/>
      <c r="H9" s="142" t="s">
        <v>680</v>
      </c>
      <c r="I9" s="143"/>
      <c r="J9" s="139"/>
      <c r="K9" s="139"/>
    </row>
    <row r="10" spans="1:31" ht="75" x14ac:dyDescent="0.3">
      <c r="A10" s="144" t="s">
        <v>1</v>
      </c>
      <c r="B10" s="144" t="s">
        <v>2</v>
      </c>
      <c r="C10" s="145" t="s">
        <v>821</v>
      </c>
      <c r="F10" s="146" t="s">
        <v>138</v>
      </c>
      <c r="G10" s="147" t="s">
        <v>134</v>
      </c>
      <c r="H10" s="147" t="s">
        <v>135</v>
      </c>
      <c r="I10" s="148" t="s">
        <v>317</v>
      </c>
      <c r="J10" s="146" t="s">
        <v>136</v>
      </c>
      <c r="K10" s="146" t="s">
        <v>1448</v>
      </c>
    </row>
    <row r="11" spans="1:31" s="33" customFormat="1" x14ac:dyDescent="0.25">
      <c r="A11" s="149">
        <v>1</v>
      </c>
      <c r="B11" s="33" t="s">
        <v>683</v>
      </c>
      <c r="C11" s="175"/>
      <c r="F11" s="8" t="s">
        <v>279</v>
      </c>
      <c r="G11" s="180" t="str" cm="1">
        <f t="array" ref="G11">IF(COUNTA(C$11:C$230)&gt;0,SUM(SUMIF(A$11:A$230,{1,2,3,4,5,6,7},C$11:C$230)),"")</f>
        <v/>
      </c>
      <c r="H11" s="181" t="s">
        <v>740</v>
      </c>
      <c r="I11" s="182" t="str" cm="1">
        <f t="array" ref="I11">_xlfn.IFS(G11="","",G11&lt;=4,"Minimal",AND(5&lt;=G11,G11&lt;=9),"Mild",AND(10&lt;=G11,G11&lt;=14),"Moderate",G11&gt;=15,"Severe")</f>
        <v/>
      </c>
      <c r="J11" s="183" t="s">
        <v>794</v>
      </c>
      <c r="K11" s="183" t="s">
        <v>1456</v>
      </c>
      <c r="AE11" s="62"/>
    </row>
    <row r="12" spans="1:31" s="33" customFormat="1" x14ac:dyDescent="0.25">
      <c r="A12" s="155">
        <v>2</v>
      </c>
      <c r="B12" s="156" t="s">
        <v>684</v>
      </c>
      <c r="C12" s="176"/>
      <c r="AE12" s="62"/>
    </row>
    <row r="13" spans="1:31" s="33" customFormat="1" x14ac:dyDescent="0.25">
      <c r="A13" s="149">
        <v>3</v>
      </c>
      <c r="B13" s="33" t="s">
        <v>685</v>
      </c>
      <c r="C13" s="175"/>
      <c r="F13" s="28"/>
      <c r="G13" s="28"/>
      <c r="H13" s="28"/>
      <c r="I13" s="28"/>
      <c r="J13" s="28"/>
      <c r="K13" s="28"/>
      <c r="AE13" s="62"/>
    </row>
    <row r="14" spans="1:31" s="33" customFormat="1" ht="21" x14ac:dyDescent="0.35">
      <c r="A14" s="155">
        <v>4</v>
      </c>
      <c r="B14" s="156" t="s">
        <v>686</v>
      </c>
      <c r="C14" s="176"/>
      <c r="F14" s="166" t="s">
        <v>237</v>
      </c>
      <c r="G14" s="132"/>
      <c r="H14" s="132"/>
      <c r="I14" s="132"/>
      <c r="J14" s="132"/>
      <c r="K14" s="132"/>
      <c r="AE14" s="62"/>
    </row>
    <row r="15" spans="1:31" s="33" customFormat="1" x14ac:dyDescent="0.25">
      <c r="A15" s="149">
        <v>5</v>
      </c>
      <c r="B15" s="33" t="s">
        <v>687</v>
      </c>
      <c r="C15" s="175"/>
      <c r="F15" s="184" t="s">
        <v>783</v>
      </c>
      <c r="G15" s="28"/>
      <c r="H15" s="28"/>
      <c r="I15" s="28"/>
      <c r="J15" s="28"/>
      <c r="K15" s="28"/>
      <c r="AE15" s="62"/>
    </row>
    <row r="16" spans="1:31" s="33" customFormat="1" x14ac:dyDescent="0.25">
      <c r="A16" s="155">
        <v>6</v>
      </c>
      <c r="B16" s="156" t="s">
        <v>688</v>
      </c>
      <c r="C16" s="176"/>
      <c r="F16" s="184"/>
      <c r="G16" s="28"/>
      <c r="H16" s="28"/>
      <c r="I16" s="28"/>
      <c r="J16" s="28"/>
      <c r="K16" s="28"/>
      <c r="AE16" s="62"/>
    </row>
    <row r="17" spans="1:31" s="33" customFormat="1" ht="20.25" thickBot="1" x14ac:dyDescent="0.3">
      <c r="A17" s="136">
        <v>7</v>
      </c>
      <c r="B17" s="169" t="s">
        <v>689</v>
      </c>
      <c r="C17" s="178"/>
      <c r="F17" s="188" t="s">
        <v>150</v>
      </c>
      <c r="G17" s="28"/>
      <c r="H17" s="28"/>
      <c r="I17" s="28"/>
      <c r="J17" s="28"/>
      <c r="K17" s="28"/>
      <c r="AE17" s="62"/>
    </row>
    <row r="18" spans="1:31" s="33" customFormat="1" x14ac:dyDescent="0.25">
      <c r="A18" s="28"/>
      <c r="B18" s="28"/>
      <c r="C18" s="28"/>
      <c r="F18" s="185" t="s">
        <v>697</v>
      </c>
      <c r="G18" s="28"/>
      <c r="H18" s="28"/>
      <c r="I18" s="28"/>
      <c r="J18" s="28"/>
      <c r="K18" s="28"/>
      <c r="AE18" s="62"/>
    </row>
    <row r="19" spans="1:31" s="33" customFormat="1" x14ac:dyDescent="0.25">
      <c r="A19" s="28"/>
      <c r="B19" s="28"/>
      <c r="C19" s="28"/>
      <c r="F19" s="185" t="s">
        <v>698</v>
      </c>
      <c r="G19" s="28"/>
      <c r="H19" s="28"/>
      <c r="I19" s="28"/>
      <c r="J19" s="28"/>
      <c r="K19" s="28"/>
      <c r="AE19" s="62"/>
    </row>
    <row r="20" spans="1:31" s="33" customFormat="1" x14ac:dyDescent="0.3">
      <c r="A20" s="131"/>
      <c r="B20" s="170" t="s">
        <v>797</v>
      </c>
      <c r="C20" s="131"/>
      <c r="F20" s="185" t="s">
        <v>699</v>
      </c>
      <c r="G20" s="28"/>
      <c r="H20" s="28"/>
      <c r="I20" s="28"/>
      <c r="J20" s="28"/>
      <c r="K20" s="28"/>
      <c r="AE20" s="62"/>
    </row>
    <row r="21" spans="1:31" s="33" customFormat="1" ht="31.5" x14ac:dyDescent="0.25">
      <c r="A21" s="28"/>
      <c r="B21" s="171" t="s">
        <v>835</v>
      </c>
      <c r="C21" s="28"/>
      <c r="F21" s="185" t="s">
        <v>700</v>
      </c>
      <c r="G21" s="28"/>
      <c r="H21" s="28"/>
      <c r="I21" s="28"/>
      <c r="J21" s="28"/>
      <c r="K21" s="28"/>
      <c r="AE21" s="62"/>
    </row>
    <row r="22" spans="1:31" s="33" customFormat="1" x14ac:dyDescent="0.25">
      <c r="A22" s="28"/>
      <c r="B22" s="28"/>
      <c r="C22" s="28"/>
      <c r="G22" s="28"/>
      <c r="H22" s="28"/>
      <c r="I22" s="28"/>
      <c r="J22" s="28"/>
      <c r="K22" s="28"/>
      <c r="AE22" s="62"/>
    </row>
    <row r="23" spans="1:31" s="33" customFormat="1" x14ac:dyDescent="0.25">
      <c r="A23" s="28"/>
      <c r="B23" s="28"/>
      <c r="C23" s="28"/>
      <c r="AE23" s="62"/>
    </row>
    <row r="24" spans="1:31" s="33" customFormat="1" x14ac:dyDescent="0.25">
      <c r="A24" s="28"/>
      <c r="B24" s="28"/>
      <c r="C24" s="28"/>
      <c r="AE24" s="62"/>
    </row>
    <row r="25" spans="1:31" s="33" customFormat="1" x14ac:dyDescent="0.25">
      <c r="A25" s="28"/>
      <c r="B25" s="28"/>
      <c r="C25" s="28"/>
      <c r="AE25" s="62"/>
    </row>
    <row r="26" spans="1:31" s="33" customFormat="1" x14ac:dyDescent="0.25">
      <c r="A26" s="28"/>
      <c r="B26" s="28"/>
      <c r="C26" s="28"/>
      <c r="AE26" s="62"/>
    </row>
    <row r="27" spans="1:31" s="33" customFormat="1" x14ac:dyDescent="0.25">
      <c r="A27" s="28"/>
      <c r="B27" s="28"/>
      <c r="C27" s="28"/>
      <c r="AE27" s="62"/>
    </row>
    <row r="29" spans="1:31" x14ac:dyDescent="0.3">
      <c r="F29" s="184"/>
    </row>
    <row r="30" spans="1:31" x14ac:dyDescent="0.3">
      <c r="F30" s="184"/>
    </row>
    <row r="31" spans="1:31" x14ac:dyDescent="0.3">
      <c r="F31" s="188"/>
    </row>
    <row r="32" spans="1:31" x14ac:dyDescent="0.3">
      <c r="F32" s="185"/>
    </row>
    <row r="33" spans="6:6" x14ac:dyDescent="0.3">
      <c r="F33" s="185"/>
    </row>
    <row r="34" spans="6:6" x14ac:dyDescent="0.3">
      <c r="F34" s="185"/>
    </row>
    <row r="35" spans="6:6" x14ac:dyDescent="0.3">
      <c r="F35" s="185"/>
    </row>
    <row r="37" spans="6:6" x14ac:dyDescent="0.3">
      <c r="F37" s="187"/>
    </row>
  </sheetData>
  <sheetProtection algorithmName="SHA-512" hashValue="JYEpuA2bQdKbs7wLhggI2rHXdjUyiRz81owErt158JbKw1N+2d4aysuyAV9irguUVWDXnmtUnBQq011GzG4cZg==" saltValue="FOi1k6/yoEjjSc1oRIsHdw==" spinCount="100000" sheet="1" objects="1" scenarios="1"/>
  <mergeCells count="2">
    <mergeCell ref="A6:C6"/>
    <mergeCell ref="A7:C7"/>
  </mergeCells>
  <dataValidations count="1">
    <dataValidation type="list" allowBlank="1" showInputMessage="1" showErrorMessage="1" sqref="C11:C17" xr:uid="{00899D62-D906-0747-A6AD-6D2097241C0B}">
      <formula1>"0,1,2,3"</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8B683-8044-F84C-B2EB-C571EFEFFEBD}">
  <sheetPr>
    <tabColor theme="5"/>
  </sheetPr>
  <dimension ref="A1:AE37"/>
  <sheetViews>
    <sheetView workbookViewId="0">
      <selection activeCell="C11" sqref="C11"/>
    </sheetView>
  </sheetViews>
  <sheetFormatPr defaultColWidth="10.875" defaultRowHeight="19.5" x14ac:dyDescent="0.3"/>
  <cols>
    <col min="1" max="1" width="8.375" style="28" customWidth="1"/>
    <col min="2" max="2" width="106" style="28" customWidth="1"/>
    <col min="3" max="3" width="12.5" style="28" customWidth="1"/>
    <col min="4" max="5" width="10.875" style="28"/>
    <col min="6" max="6" width="54.125" style="28" customWidth="1"/>
    <col min="7" max="9" width="12.5" style="28" customWidth="1"/>
    <col min="10" max="10" width="19.625" style="28" bestFit="1" customWidth="1"/>
    <col min="11" max="11" width="19.375"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172" t="s">
        <v>678</v>
      </c>
      <c r="F3" s="130"/>
      <c r="G3" s="130"/>
      <c r="H3" s="130"/>
      <c r="I3" s="130"/>
      <c r="J3" s="130"/>
      <c r="AE3" s="61"/>
    </row>
    <row r="5" spans="1:31" x14ac:dyDescent="0.3">
      <c r="A5" s="131" t="s">
        <v>818</v>
      </c>
      <c r="B5" s="132"/>
      <c r="C5" s="132"/>
    </row>
    <row r="6" spans="1:31" s="133" customFormat="1" x14ac:dyDescent="0.25">
      <c r="A6" s="345" t="s">
        <v>681</v>
      </c>
      <c r="B6" s="346"/>
      <c r="C6" s="347"/>
      <c r="AE6" s="134"/>
    </row>
    <row r="7" spans="1:31" s="133" customFormat="1" x14ac:dyDescent="0.25">
      <c r="A7" s="342" t="s">
        <v>682</v>
      </c>
      <c r="B7" s="343"/>
      <c r="C7" s="344"/>
      <c r="AE7" s="134"/>
    </row>
    <row r="8" spans="1:31" ht="20.25" thickBot="1" x14ac:dyDescent="0.35"/>
    <row r="9" spans="1:31" x14ac:dyDescent="0.3">
      <c r="A9" s="138"/>
      <c r="B9" s="139"/>
      <c r="C9" s="140"/>
      <c r="F9" s="139" t="s">
        <v>132</v>
      </c>
      <c r="G9" s="141"/>
      <c r="H9" s="142" t="s">
        <v>679</v>
      </c>
      <c r="I9" s="143"/>
      <c r="J9" s="139"/>
      <c r="K9" s="139"/>
    </row>
    <row r="10" spans="1:31" ht="75" x14ac:dyDescent="0.3">
      <c r="A10" s="144" t="s">
        <v>1</v>
      </c>
      <c r="B10" s="144" t="s">
        <v>2</v>
      </c>
      <c r="C10" s="145" t="s">
        <v>821</v>
      </c>
      <c r="F10" s="146" t="s">
        <v>138</v>
      </c>
      <c r="G10" s="147" t="s">
        <v>134</v>
      </c>
      <c r="H10" s="147" t="s">
        <v>135</v>
      </c>
      <c r="I10" s="148" t="s">
        <v>317</v>
      </c>
      <c r="J10" s="146" t="s">
        <v>136</v>
      </c>
      <c r="K10" s="146" t="s">
        <v>1448</v>
      </c>
    </row>
    <row r="11" spans="1:31" s="33" customFormat="1" x14ac:dyDescent="0.25">
      <c r="A11" s="149">
        <v>1</v>
      </c>
      <c r="B11" s="33" t="s">
        <v>373</v>
      </c>
      <c r="C11" s="175"/>
      <c r="F11" s="8" t="s">
        <v>279</v>
      </c>
      <c r="G11" s="180" t="str" cm="1">
        <f t="array" ref="G11">IF(COUNTA(C$11:C$230)&gt;0,SUM(SUMIF(A$11:A$230,{1,2,3,4,5,6,7,8,9},C$11:C$230)),"")</f>
        <v/>
      </c>
      <c r="H11" s="181" t="s">
        <v>740</v>
      </c>
      <c r="I11" s="182" t="str" cm="1">
        <f t="array" ref="I11">_xlfn.IFS(G11="","",G11&lt;=4,"Mild",AND(5&lt;=G11,G11&lt;=9),"Mild",AND(10&lt;=G11,G11&lt;=14),"Moderate",AND(15&lt;=G11,G11&lt;=19),"Moderately Severe",G11&gt;=20,"Severe")</f>
        <v/>
      </c>
      <c r="J11" s="183" t="s">
        <v>789</v>
      </c>
      <c r="K11" s="183" t="s">
        <v>1457</v>
      </c>
      <c r="AE11" s="62"/>
    </row>
    <row r="12" spans="1:31" s="33" customFormat="1" x14ac:dyDescent="0.25">
      <c r="A12" s="155">
        <v>2</v>
      </c>
      <c r="B12" s="156" t="s">
        <v>374</v>
      </c>
      <c r="C12" s="176"/>
      <c r="AE12" s="62"/>
    </row>
    <row r="13" spans="1:31" s="33" customFormat="1" x14ac:dyDescent="0.25">
      <c r="A13" s="149">
        <v>3</v>
      </c>
      <c r="B13" s="33" t="s">
        <v>690</v>
      </c>
      <c r="C13" s="175"/>
      <c r="F13" s="28"/>
      <c r="G13" s="28"/>
      <c r="H13" s="28"/>
      <c r="I13" s="28"/>
      <c r="J13" s="28"/>
      <c r="K13" s="28"/>
      <c r="AE13" s="62"/>
    </row>
    <row r="14" spans="1:31" s="33" customFormat="1" ht="21" x14ac:dyDescent="0.35">
      <c r="A14" s="155">
        <v>4</v>
      </c>
      <c r="B14" s="156" t="s">
        <v>691</v>
      </c>
      <c r="C14" s="176"/>
      <c r="F14" s="166" t="s">
        <v>237</v>
      </c>
      <c r="G14" s="132"/>
      <c r="H14" s="132"/>
      <c r="I14" s="132"/>
      <c r="J14" s="132"/>
      <c r="K14" s="132"/>
      <c r="AE14" s="62"/>
    </row>
    <row r="15" spans="1:31" s="33" customFormat="1" x14ac:dyDescent="0.25">
      <c r="A15" s="149">
        <v>5</v>
      </c>
      <c r="B15" s="33" t="s">
        <v>692</v>
      </c>
      <c r="C15" s="175"/>
      <c r="F15" s="184" t="s">
        <v>783</v>
      </c>
      <c r="G15" s="28"/>
      <c r="H15" s="28"/>
      <c r="I15" s="28"/>
      <c r="J15" s="28"/>
      <c r="K15" s="28"/>
      <c r="AE15" s="62"/>
    </row>
    <row r="16" spans="1:31" s="33" customFormat="1" x14ac:dyDescent="0.25">
      <c r="A16" s="155">
        <v>6</v>
      </c>
      <c r="B16" s="156" t="s">
        <v>693</v>
      </c>
      <c r="C16" s="176"/>
      <c r="G16" s="28"/>
      <c r="H16" s="28"/>
      <c r="I16" s="28"/>
      <c r="J16" s="28"/>
      <c r="K16" s="28"/>
      <c r="AE16" s="62"/>
    </row>
    <row r="17" spans="1:31" s="33" customFormat="1" x14ac:dyDescent="0.25">
      <c r="A17" s="149">
        <v>7</v>
      </c>
      <c r="B17" s="33" t="s">
        <v>694</v>
      </c>
      <c r="C17" s="175"/>
      <c r="F17" s="51" t="s">
        <v>150</v>
      </c>
      <c r="G17" s="28"/>
      <c r="H17" s="28"/>
      <c r="I17" s="28"/>
      <c r="J17" s="28"/>
      <c r="K17" s="28"/>
      <c r="AE17" s="62"/>
    </row>
    <row r="18" spans="1:31" s="33" customFormat="1" ht="31.5" x14ac:dyDescent="0.25">
      <c r="A18" s="155">
        <v>8</v>
      </c>
      <c r="B18" s="189" t="s">
        <v>696</v>
      </c>
      <c r="C18" s="176"/>
      <c r="F18" s="185" t="s">
        <v>705</v>
      </c>
      <c r="G18" s="28"/>
      <c r="H18" s="28"/>
      <c r="I18" s="28"/>
      <c r="J18" s="28"/>
      <c r="K18" s="28"/>
      <c r="AE18" s="62"/>
    </row>
    <row r="19" spans="1:31" s="33" customFormat="1" ht="20.25" thickBot="1" x14ac:dyDescent="0.3">
      <c r="A19" s="136">
        <v>9</v>
      </c>
      <c r="B19" s="169" t="s">
        <v>695</v>
      </c>
      <c r="C19" s="178"/>
      <c r="F19" s="185" t="s">
        <v>706</v>
      </c>
      <c r="G19" s="28"/>
      <c r="H19" s="28"/>
      <c r="I19" s="28"/>
      <c r="J19" s="28"/>
      <c r="K19" s="28"/>
      <c r="AE19" s="62"/>
    </row>
    <row r="20" spans="1:31" s="33" customFormat="1" x14ac:dyDescent="0.25">
      <c r="A20" s="28"/>
      <c r="B20" s="28"/>
      <c r="C20" s="28"/>
      <c r="F20" s="185" t="s">
        <v>707</v>
      </c>
      <c r="G20" s="28"/>
      <c r="H20" s="28"/>
      <c r="I20" s="28"/>
      <c r="J20" s="28"/>
      <c r="K20" s="28"/>
      <c r="AE20" s="62"/>
    </row>
    <row r="21" spans="1:31" s="33" customFormat="1" x14ac:dyDescent="0.25">
      <c r="A21" s="28"/>
      <c r="B21" s="28"/>
      <c r="C21" s="28"/>
      <c r="F21" s="185" t="s">
        <v>708</v>
      </c>
      <c r="G21" s="28"/>
      <c r="H21" s="28"/>
      <c r="I21" s="28"/>
      <c r="J21" s="28"/>
      <c r="K21" s="28"/>
      <c r="AE21" s="62"/>
    </row>
    <row r="22" spans="1:31" s="33" customFormat="1" x14ac:dyDescent="0.3">
      <c r="A22" s="131"/>
      <c r="B22" s="170" t="s">
        <v>797</v>
      </c>
      <c r="C22" s="131"/>
      <c r="F22" s="185" t="s">
        <v>709</v>
      </c>
      <c r="G22" s="28"/>
      <c r="H22" s="28"/>
      <c r="I22" s="28"/>
      <c r="J22" s="28"/>
      <c r="K22" s="28"/>
      <c r="AE22" s="62"/>
    </row>
    <row r="23" spans="1:31" s="33" customFormat="1" ht="31.5" x14ac:dyDescent="0.25">
      <c r="A23" s="28"/>
      <c r="B23" s="171" t="s">
        <v>843</v>
      </c>
      <c r="C23" s="28"/>
      <c r="AE23" s="62"/>
    </row>
    <row r="24" spans="1:31" s="33" customFormat="1" x14ac:dyDescent="0.25">
      <c r="A24" s="28"/>
      <c r="B24" s="28"/>
      <c r="C24" s="28"/>
      <c r="AE24" s="62"/>
    </row>
    <row r="25" spans="1:31" s="33" customFormat="1" x14ac:dyDescent="0.25">
      <c r="A25" s="28"/>
      <c r="B25" s="28"/>
      <c r="C25" s="28"/>
      <c r="AE25" s="62"/>
    </row>
    <row r="26" spans="1:31" s="33" customFormat="1" x14ac:dyDescent="0.25">
      <c r="A26" s="28"/>
      <c r="B26" s="28"/>
      <c r="C26" s="28"/>
      <c r="G26" s="28"/>
      <c r="H26" s="28"/>
      <c r="I26" s="28"/>
      <c r="J26" s="28"/>
      <c r="K26" s="28"/>
      <c r="AE26" s="62"/>
    </row>
    <row r="27" spans="1:31" s="33" customFormat="1" x14ac:dyDescent="0.25">
      <c r="A27" s="28"/>
      <c r="B27" s="28"/>
      <c r="C27" s="28"/>
      <c r="F27" s="28"/>
      <c r="G27" s="28"/>
      <c r="H27" s="28"/>
      <c r="I27" s="28"/>
      <c r="J27" s="28"/>
      <c r="K27" s="28"/>
      <c r="AE27" s="62"/>
    </row>
    <row r="28" spans="1:31" ht="21" x14ac:dyDescent="0.35">
      <c r="F28" s="168"/>
    </row>
    <row r="29" spans="1:31" x14ac:dyDescent="0.3">
      <c r="F29" s="184"/>
    </row>
    <row r="30" spans="1:31" x14ac:dyDescent="0.3">
      <c r="F30" s="33"/>
    </row>
    <row r="31" spans="1:31" x14ac:dyDescent="0.3">
      <c r="F31" s="51"/>
    </row>
    <row r="32" spans="1:31" x14ac:dyDescent="0.3">
      <c r="F32" s="185"/>
    </row>
    <row r="33" spans="6:6" x14ac:dyDescent="0.3">
      <c r="F33" s="185"/>
    </row>
    <row r="34" spans="6:6" x14ac:dyDescent="0.3">
      <c r="F34" s="185"/>
    </row>
    <row r="35" spans="6:6" x14ac:dyDescent="0.3">
      <c r="F35" s="185"/>
    </row>
    <row r="36" spans="6:6" x14ac:dyDescent="0.3">
      <c r="F36" s="185"/>
    </row>
    <row r="37" spans="6:6" x14ac:dyDescent="0.3">
      <c r="F37" s="187"/>
    </row>
  </sheetData>
  <sheetProtection algorithmName="SHA-512" hashValue="ErDcuO+p9/WNTY1e9er3BGR5q/DL7e1otKFjPaWRP/4oUpE52e0hSfGde3bHiTWgHsA2gNG3i9iFg0ivBLRaQw==" saltValue="iwYcH1xTYQeGIu1yKHuU/w==" spinCount="100000" sheet="1" objects="1" scenarios="1"/>
  <mergeCells count="2">
    <mergeCell ref="A6:C6"/>
    <mergeCell ref="A7:C7"/>
  </mergeCells>
  <dataValidations count="1">
    <dataValidation type="list" allowBlank="1" showInputMessage="1" showErrorMessage="1" sqref="C11:C19" xr:uid="{BEC6F516-2E0B-9B4A-82B1-0084AEF7D0CD}">
      <formula1>"0,1,2,3"</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FBAEE-6960-4440-9D39-2E30D8630CFB}">
  <sheetPr>
    <tabColor theme="5"/>
  </sheetPr>
  <dimension ref="A1:AE41"/>
  <sheetViews>
    <sheetView workbookViewId="0">
      <selection activeCell="C11" sqref="C11"/>
    </sheetView>
  </sheetViews>
  <sheetFormatPr defaultColWidth="10.875" defaultRowHeight="19.5" x14ac:dyDescent="0.3"/>
  <cols>
    <col min="1" max="1" width="8.375" style="28" customWidth="1"/>
    <col min="2" max="2" width="110" style="28" customWidth="1"/>
    <col min="3" max="3" width="12.5" style="28" customWidth="1"/>
    <col min="4" max="5" width="10.875" style="28"/>
    <col min="6" max="6" width="54.125" style="28" customWidth="1"/>
    <col min="7" max="8" width="12.5" style="28" customWidth="1"/>
    <col min="9" max="9" width="12.5" style="28" bestFit="1" customWidth="1"/>
    <col min="10" max="10" width="19.625" style="28" bestFit="1" customWidth="1"/>
    <col min="11" max="11" width="55.5"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172" t="s">
        <v>1327</v>
      </c>
      <c r="F3" s="130"/>
      <c r="G3" s="130"/>
      <c r="H3" s="130"/>
      <c r="I3" s="130"/>
      <c r="J3" s="130"/>
      <c r="AE3" s="61"/>
    </row>
    <row r="5" spans="1:31" x14ac:dyDescent="0.3">
      <c r="A5" s="131" t="s">
        <v>1365</v>
      </c>
      <c r="B5" s="132"/>
      <c r="C5" s="132"/>
    </row>
    <row r="6" spans="1:31" s="133" customFormat="1" ht="19.5" customHeight="1" x14ac:dyDescent="0.25">
      <c r="A6" s="348" t="s">
        <v>1330</v>
      </c>
      <c r="B6" s="349"/>
      <c r="C6" s="350"/>
      <c r="AE6" s="134"/>
    </row>
    <row r="7" spans="1:31" s="133" customFormat="1" x14ac:dyDescent="0.25">
      <c r="A7" s="342"/>
      <c r="B7" s="343"/>
      <c r="C7" s="344"/>
      <c r="AE7" s="134"/>
    </row>
    <row r="8" spans="1:31" ht="20.25" thickBot="1" x14ac:dyDescent="0.35"/>
    <row r="9" spans="1:31" x14ac:dyDescent="0.3">
      <c r="A9" s="138"/>
      <c r="B9" s="139"/>
      <c r="C9" s="140"/>
      <c r="F9" s="139" t="s">
        <v>132</v>
      </c>
      <c r="G9" s="141"/>
      <c r="H9" s="142" t="s">
        <v>1328</v>
      </c>
      <c r="I9" s="143"/>
      <c r="J9" s="139"/>
      <c r="K9" s="139"/>
    </row>
    <row r="10" spans="1:31" ht="75" x14ac:dyDescent="0.3">
      <c r="A10" s="144" t="s">
        <v>1</v>
      </c>
      <c r="B10" s="144" t="s">
        <v>2</v>
      </c>
      <c r="C10" s="145" t="s">
        <v>821</v>
      </c>
      <c r="F10" s="146" t="s">
        <v>138</v>
      </c>
      <c r="G10" s="147" t="s">
        <v>134</v>
      </c>
      <c r="H10" s="147" t="s">
        <v>135</v>
      </c>
      <c r="I10" s="148" t="s">
        <v>317</v>
      </c>
      <c r="J10" s="146" t="s">
        <v>136</v>
      </c>
      <c r="K10" s="146" t="s">
        <v>1448</v>
      </c>
    </row>
    <row r="11" spans="1:31" s="33" customFormat="1" x14ac:dyDescent="0.25">
      <c r="A11" s="149">
        <v>1</v>
      </c>
      <c r="B11" s="149" t="s">
        <v>1409</v>
      </c>
      <c r="C11" s="175"/>
      <c r="F11" s="8" t="s">
        <v>279</v>
      </c>
      <c r="G11" s="180" t="str" cm="1">
        <f t="array" ref="G11">IF(COUNTA(C$11:C$230)&gt;0,SUM(SUMIF(A$11:A$230,{1,2,3,4,5,6,7,8,9,10,11,12,13,14,15,16,17,18,19,20,21},C$11:C$230)),"")</f>
        <v/>
      </c>
      <c r="H11" s="181" t="s">
        <v>740</v>
      </c>
      <c r="I11" s="182" t="str" cm="1">
        <f t="array" ref="I11">_xlfn.IFS(G11="","",G11&lt;=13,"Minimal",AND(14&lt;=G11,G11&lt;=19),"Mild",AND(20&lt;=G11,G11&lt;=28),"Moderate",G11&gt;=29,"Severe")</f>
        <v/>
      </c>
      <c r="J11" s="183" t="s">
        <v>1379</v>
      </c>
      <c r="K11" s="183" t="s">
        <v>1458</v>
      </c>
      <c r="AE11" s="62"/>
    </row>
    <row r="12" spans="1:31" s="33" customFormat="1" x14ac:dyDescent="0.25">
      <c r="A12" s="155">
        <v>2</v>
      </c>
      <c r="B12" s="155" t="s">
        <v>1391</v>
      </c>
      <c r="C12" s="176"/>
      <c r="AE12" s="62"/>
    </row>
    <row r="13" spans="1:31" s="33" customFormat="1" x14ac:dyDescent="0.25">
      <c r="A13" s="149">
        <v>3</v>
      </c>
      <c r="B13" s="149" t="s">
        <v>1391</v>
      </c>
      <c r="C13" s="175"/>
      <c r="F13" s="28"/>
      <c r="G13" s="28"/>
      <c r="H13" s="28"/>
      <c r="I13" s="28"/>
      <c r="J13" s="28"/>
      <c r="K13" s="28"/>
      <c r="AE13" s="62"/>
    </row>
    <row r="14" spans="1:31" s="33" customFormat="1" ht="21" x14ac:dyDescent="0.35">
      <c r="A14" s="155">
        <v>4</v>
      </c>
      <c r="B14" s="155" t="s">
        <v>1391</v>
      </c>
      <c r="C14" s="176"/>
      <c r="F14" s="166" t="s">
        <v>237</v>
      </c>
      <c r="G14" s="132"/>
      <c r="H14" s="132"/>
      <c r="I14" s="132"/>
      <c r="J14" s="132"/>
      <c r="K14" s="132"/>
      <c r="AE14" s="62"/>
    </row>
    <row r="15" spans="1:31" s="33" customFormat="1" x14ac:dyDescent="0.25">
      <c r="A15" s="149">
        <v>5</v>
      </c>
      <c r="B15" s="149" t="s">
        <v>1391</v>
      </c>
      <c r="C15" s="175"/>
      <c r="F15" s="184" t="s">
        <v>783</v>
      </c>
      <c r="G15" s="28"/>
      <c r="H15" s="28"/>
      <c r="I15" s="28"/>
      <c r="J15" s="28"/>
      <c r="K15" s="28"/>
      <c r="AE15" s="62"/>
    </row>
    <row r="16" spans="1:31" s="33" customFormat="1" x14ac:dyDescent="0.25">
      <c r="A16" s="155">
        <v>6</v>
      </c>
      <c r="B16" s="155" t="s">
        <v>1391</v>
      </c>
      <c r="C16" s="176"/>
      <c r="F16" s="184"/>
      <c r="G16" s="28"/>
      <c r="H16" s="28"/>
      <c r="I16" s="28"/>
      <c r="J16" s="28"/>
      <c r="K16" s="28"/>
      <c r="AE16" s="62"/>
    </row>
    <row r="17" spans="1:31" s="33" customFormat="1" x14ac:dyDescent="0.25">
      <c r="A17" s="149">
        <v>7</v>
      </c>
      <c r="B17" s="149" t="s">
        <v>1391</v>
      </c>
      <c r="C17" s="175"/>
      <c r="F17" s="188" t="s">
        <v>150</v>
      </c>
      <c r="G17" s="28"/>
      <c r="H17" s="28"/>
      <c r="I17" s="28"/>
      <c r="J17" s="28"/>
      <c r="K17" s="28"/>
      <c r="AE17" s="62"/>
    </row>
    <row r="18" spans="1:31" s="33" customFormat="1" x14ac:dyDescent="0.25">
      <c r="A18" s="155">
        <v>8</v>
      </c>
      <c r="B18" s="155" t="s">
        <v>1391</v>
      </c>
      <c r="C18" s="176"/>
      <c r="F18" s="185" t="s">
        <v>1331</v>
      </c>
      <c r="G18" s="28"/>
      <c r="H18" s="28"/>
      <c r="I18" s="28"/>
      <c r="J18" s="28"/>
      <c r="K18" s="28"/>
      <c r="AE18" s="62"/>
    </row>
    <row r="19" spans="1:31" s="33" customFormat="1" x14ac:dyDescent="0.25">
      <c r="A19" s="149">
        <v>9</v>
      </c>
      <c r="B19" s="149" t="s">
        <v>1391</v>
      </c>
      <c r="C19" s="175"/>
      <c r="F19" s="185" t="s">
        <v>1332</v>
      </c>
      <c r="G19" s="28"/>
      <c r="H19" s="28"/>
      <c r="I19" s="28"/>
      <c r="J19" s="28"/>
      <c r="K19" s="28"/>
      <c r="AE19" s="62"/>
    </row>
    <row r="20" spans="1:31" s="33" customFormat="1" x14ac:dyDescent="0.25">
      <c r="A20" s="155">
        <v>10</v>
      </c>
      <c r="B20" s="155" t="s">
        <v>1391</v>
      </c>
      <c r="C20" s="176"/>
      <c r="F20" s="185" t="s">
        <v>1333</v>
      </c>
      <c r="G20" s="28"/>
      <c r="H20" s="28"/>
      <c r="I20" s="28"/>
      <c r="J20" s="28"/>
      <c r="K20" s="28"/>
      <c r="AE20" s="62"/>
    </row>
    <row r="21" spans="1:31" s="33" customFormat="1" x14ac:dyDescent="0.25">
      <c r="A21" s="149">
        <v>11</v>
      </c>
      <c r="B21" s="149" t="s">
        <v>1391</v>
      </c>
      <c r="C21" s="175"/>
      <c r="F21" s="185" t="s">
        <v>1334</v>
      </c>
      <c r="G21" s="28"/>
      <c r="H21" s="28"/>
      <c r="I21" s="28"/>
      <c r="J21" s="28"/>
      <c r="K21" s="28"/>
      <c r="AE21" s="62"/>
    </row>
    <row r="22" spans="1:31" s="33" customFormat="1" x14ac:dyDescent="0.25">
      <c r="A22" s="155">
        <v>12</v>
      </c>
      <c r="B22" s="155" t="s">
        <v>1391</v>
      </c>
      <c r="C22" s="176"/>
      <c r="F22" s="185"/>
      <c r="G22" s="28"/>
      <c r="H22" s="28"/>
      <c r="I22" s="28"/>
      <c r="J22" s="28"/>
      <c r="K22" s="28"/>
      <c r="AE22" s="62"/>
    </row>
    <row r="23" spans="1:31" s="33" customFormat="1" x14ac:dyDescent="0.25">
      <c r="A23" s="149">
        <v>13</v>
      </c>
      <c r="B23" s="149" t="s">
        <v>1391</v>
      </c>
      <c r="C23" s="175"/>
      <c r="AE23" s="62"/>
    </row>
    <row r="24" spans="1:31" s="33" customFormat="1" x14ac:dyDescent="0.25">
      <c r="A24" s="155">
        <v>14</v>
      </c>
      <c r="B24" s="155" t="s">
        <v>1391</v>
      </c>
      <c r="C24" s="176"/>
      <c r="F24" s="28"/>
      <c r="G24" s="28"/>
      <c r="H24" s="28"/>
      <c r="I24" s="28"/>
      <c r="J24" s="28"/>
      <c r="K24" s="28"/>
      <c r="AE24" s="62"/>
    </row>
    <row r="25" spans="1:31" s="33" customFormat="1" x14ac:dyDescent="0.25">
      <c r="A25" s="149">
        <v>15</v>
      </c>
      <c r="B25" s="149" t="s">
        <v>1391</v>
      </c>
      <c r="C25" s="175"/>
      <c r="F25" s="28"/>
      <c r="G25" s="28"/>
      <c r="H25" s="28"/>
      <c r="I25" s="28"/>
      <c r="J25" s="28"/>
      <c r="K25" s="28"/>
      <c r="AE25" s="62"/>
    </row>
    <row r="26" spans="1:31" s="33" customFormat="1" x14ac:dyDescent="0.25">
      <c r="A26" s="155">
        <v>16</v>
      </c>
      <c r="B26" s="155" t="s">
        <v>1391</v>
      </c>
      <c r="C26" s="176"/>
      <c r="F26" s="28"/>
      <c r="G26" s="28"/>
      <c r="H26" s="28"/>
      <c r="I26" s="28"/>
      <c r="J26" s="28"/>
      <c r="K26" s="28"/>
      <c r="AE26" s="62"/>
    </row>
    <row r="27" spans="1:31" s="33" customFormat="1" x14ac:dyDescent="0.25">
      <c r="A27" s="149">
        <v>17</v>
      </c>
      <c r="B27" s="149" t="s">
        <v>1391</v>
      </c>
      <c r="C27" s="175"/>
      <c r="F27" s="28"/>
      <c r="G27" s="28"/>
      <c r="H27" s="28"/>
      <c r="I27" s="28"/>
      <c r="J27" s="28"/>
      <c r="K27" s="28"/>
      <c r="AE27" s="62"/>
    </row>
    <row r="28" spans="1:31" s="33" customFormat="1" x14ac:dyDescent="0.25">
      <c r="A28" s="155">
        <v>18</v>
      </c>
      <c r="B28" s="155" t="s">
        <v>1391</v>
      </c>
      <c r="C28" s="176"/>
      <c r="F28" s="28"/>
      <c r="G28" s="28"/>
      <c r="H28" s="28"/>
      <c r="I28" s="28"/>
      <c r="J28" s="28"/>
      <c r="K28" s="28"/>
      <c r="AE28" s="62"/>
    </row>
    <row r="29" spans="1:31" s="33" customFormat="1" x14ac:dyDescent="0.25">
      <c r="A29" s="149">
        <v>19</v>
      </c>
      <c r="B29" s="149" t="s">
        <v>1391</v>
      </c>
      <c r="C29" s="175"/>
      <c r="F29" s="28"/>
      <c r="G29" s="28"/>
      <c r="H29" s="28"/>
      <c r="I29" s="28"/>
      <c r="J29" s="28"/>
      <c r="K29" s="28"/>
      <c r="AE29" s="62"/>
    </row>
    <row r="30" spans="1:31" s="33" customFormat="1" x14ac:dyDescent="0.25">
      <c r="A30" s="155">
        <v>20</v>
      </c>
      <c r="B30" s="155" t="s">
        <v>1391</v>
      </c>
      <c r="C30" s="176"/>
      <c r="F30" s="28"/>
      <c r="G30" s="28"/>
      <c r="H30" s="28"/>
      <c r="I30" s="28"/>
      <c r="J30" s="28"/>
      <c r="K30" s="28"/>
      <c r="AE30" s="62"/>
    </row>
    <row r="31" spans="1:31" s="33" customFormat="1" ht="20.25" thickBot="1" x14ac:dyDescent="0.3">
      <c r="A31" s="136">
        <v>21</v>
      </c>
      <c r="B31" s="136" t="s">
        <v>1391</v>
      </c>
      <c r="C31" s="178"/>
      <c r="F31" s="28"/>
      <c r="G31" s="28"/>
      <c r="H31" s="28"/>
      <c r="I31" s="28"/>
      <c r="J31" s="28"/>
      <c r="K31" s="28"/>
      <c r="AE31" s="62"/>
    </row>
    <row r="32" spans="1:31" ht="21" x14ac:dyDescent="0.35">
      <c r="F32" s="168"/>
    </row>
    <row r="33" spans="1:6" x14ac:dyDescent="0.3">
      <c r="F33" s="184"/>
    </row>
    <row r="34" spans="1:6" x14ac:dyDescent="0.3">
      <c r="F34" s="184"/>
    </row>
    <row r="35" spans="1:6" x14ac:dyDescent="0.3">
      <c r="A35" s="131"/>
      <c r="B35" s="170" t="s">
        <v>797</v>
      </c>
      <c r="C35" s="131"/>
      <c r="F35" s="188"/>
    </row>
    <row r="36" spans="1:6" x14ac:dyDescent="0.3">
      <c r="B36" s="191" t="s">
        <v>1368</v>
      </c>
      <c r="F36" s="185"/>
    </row>
    <row r="37" spans="1:6" ht="32.25" x14ac:dyDescent="0.3">
      <c r="B37" s="192" t="s">
        <v>1369</v>
      </c>
      <c r="F37" s="185"/>
    </row>
    <row r="38" spans="1:6" x14ac:dyDescent="0.3">
      <c r="F38" s="185"/>
    </row>
    <row r="39" spans="1:6" x14ac:dyDescent="0.3">
      <c r="F39" s="185"/>
    </row>
    <row r="41" spans="1:6" x14ac:dyDescent="0.3">
      <c r="F41" s="187"/>
    </row>
  </sheetData>
  <sheetProtection algorithmName="SHA-512" hashValue="jldlHTT0l5Nl+g1wju0cAzAL9VTxpkuccgLpFTjXlN9QTHrri2lYF6PksAKXsqRwCBQArhhZJ7s2dyioZ70glg==" saltValue="nrqnVO733LPCW7HLWkLDqQ==" spinCount="100000" sheet="1" objects="1" scenarios="1"/>
  <mergeCells count="1">
    <mergeCell ref="A6:C7"/>
  </mergeCells>
  <dataValidations count="1">
    <dataValidation type="list" allowBlank="1" showInputMessage="1" showErrorMessage="1" sqref="C11:C31" xr:uid="{4717D536-9D2A-F84B-B7CA-2767705C5384}">
      <formula1>"0,1,2,3"</formula1>
    </dataValidation>
  </dataValidations>
  <hyperlinks>
    <hyperlink ref="B37" r:id="rId1" xr:uid="{F647386F-0443-4499-87EF-33D796B1845E}"/>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36BFF-8AB9-D34C-B3F2-46C57FC6BB5C}">
  <sheetPr>
    <tabColor theme="5"/>
  </sheetPr>
  <dimension ref="A1:AE41"/>
  <sheetViews>
    <sheetView workbookViewId="0">
      <selection activeCell="C11" sqref="C11"/>
    </sheetView>
  </sheetViews>
  <sheetFormatPr defaultColWidth="10.875" defaultRowHeight="19.5" x14ac:dyDescent="0.3"/>
  <cols>
    <col min="1" max="1" width="8.375" style="28" customWidth="1"/>
    <col min="2" max="2" width="110" style="28" customWidth="1"/>
    <col min="3" max="3" width="12.5" style="28" customWidth="1"/>
    <col min="4" max="5" width="10.875" style="28"/>
    <col min="6" max="6" width="54.125" style="28" customWidth="1"/>
    <col min="7" max="8" width="12.5" style="28" customWidth="1"/>
    <col min="9" max="9" width="13" style="28" bestFit="1" customWidth="1"/>
    <col min="10" max="10" width="19.625" style="28" bestFit="1" customWidth="1"/>
    <col min="11" max="11" width="55.5"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172" t="s">
        <v>1326</v>
      </c>
      <c r="F3" s="130"/>
      <c r="G3" s="130"/>
      <c r="H3" s="130"/>
      <c r="I3" s="130"/>
      <c r="J3" s="130"/>
      <c r="AE3" s="61"/>
    </row>
    <row r="5" spans="1:31" x14ac:dyDescent="0.3">
      <c r="A5" s="131" t="s">
        <v>1365</v>
      </c>
      <c r="B5" s="132"/>
      <c r="C5" s="132"/>
    </row>
    <row r="6" spans="1:31" s="133" customFormat="1" x14ac:dyDescent="0.25">
      <c r="A6" s="348" t="s">
        <v>1330</v>
      </c>
      <c r="B6" s="349"/>
      <c r="C6" s="350"/>
      <c r="AE6" s="134"/>
    </row>
    <row r="7" spans="1:31" s="133" customFormat="1" x14ac:dyDescent="0.25">
      <c r="A7" s="342"/>
      <c r="B7" s="343"/>
      <c r="C7" s="344"/>
      <c r="AE7" s="134"/>
    </row>
    <row r="8" spans="1:31" ht="20.25" thickBot="1" x14ac:dyDescent="0.35"/>
    <row r="9" spans="1:31" x14ac:dyDescent="0.3">
      <c r="A9" s="138"/>
      <c r="B9" s="139"/>
      <c r="C9" s="140"/>
      <c r="F9" s="139" t="s">
        <v>132</v>
      </c>
      <c r="G9" s="141"/>
      <c r="H9" s="142" t="s">
        <v>1329</v>
      </c>
      <c r="I9" s="143"/>
      <c r="J9" s="139"/>
      <c r="K9" s="139"/>
    </row>
    <row r="10" spans="1:31" ht="75" x14ac:dyDescent="0.3">
      <c r="A10" s="144" t="s">
        <v>1</v>
      </c>
      <c r="B10" s="144" t="s">
        <v>2</v>
      </c>
      <c r="C10" s="145" t="s">
        <v>821</v>
      </c>
      <c r="F10" s="146" t="s">
        <v>138</v>
      </c>
      <c r="G10" s="147" t="s">
        <v>134</v>
      </c>
      <c r="H10" s="147" t="s">
        <v>135</v>
      </c>
      <c r="I10" s="148" t="s">
        <v>317</v>
      </c>
      <c r="J10" s="146" t="s">
        <v>136</v>
      </c>
      <c r="K10" s="146" t="s">
        <v>1448</v>
      </c>
    </row>
    <row r="11" spans="1:31" s="33" customFormat="1" x14ac:dyDescent="0.25">
      <c r="A11" s="149">
        <v>1</v>
      </c>
      <c r="B11" s="149" t="s">
        <v>1409</v>
      </c>
      <c r="C11" s="175"/>
      <c r="F11" s="8" t="s">
        <v>279</v>
      </c>
      <c r="G11" s="180" t="str" cm="1">
        <f t="array" ref="G11">IF(COUNTA(C$11:C$230)&gt;0,SUM(SUMIF(A$11:A$230,{1,2,3,4,5,6,7,8,9,10,11,12,13,14,15,16,17,18,19,20,21},C$11:C$230)),"")</f>
        <v/>
      </c>
      <c r="H11" s="181" t="s">
        <v>740</v>
      </c>
      <c r="I11" s="182" t="str" cm="1">
        <f t="array" ref="I11">_xlfn.IFS(G11="","",G11&lt;=7,"Minimal anxiety",AND(8&lt;=G11,G11&lt;=15),"Mild anxiety",AND(16&lt;=G11,G11&lt;=25),"Moderate anxiety",G11&gt;=26,"Severe anxiety")</f>
        <v/>
      </c>
      <c r="J11" s="183" t="s">
        <v>826</v>
      </c>
      <c r="K11" s="183" t="s">
        <v>1458</v>
      </c>
      <c r="AE11" s="62"/>
    </row>
    <row r="12" spans="1:31" s="33" customFormat="1" x14ac:dyDescent="0.25">
      <c r="A12" s="155">
        <v>2</v>
      </c>
      <c r="B12" s="155" t="s">
        <v>1391</v>
      </c>
      <c r="C12" s="176"/>
      <c r="AE12" s="62"/>
    </row>
    <row r="13" spans="1:31" s="33" customFormat="1" x14ac:dyDescent="0.25">
      <c r="A13" s="149">
        <v>3</v>
      </c>
      <c r="B13" s="149" t="s">
        <v>1391</v>
      </c>
      <c r="C13" s="175"/>
      <c r="F13" s="28"/>
      <c r="G13" s="28"/>
      <c r="H13" s="28"/>
      <c r="I13" s="28"/>
      <c r="J13" s="28"/>
      <c r="K13" s="28"/>
      <c r="AE13" s="62"/>
    </row>
    <row r="14" spans="1:31" s="33" customFormat="1" ht="21" x14ac:dyDescent="0.35">
      <c r="A14" s="155">
        <v>4</v>
      </c>
      <c r="B14" s="155" t="s">
        <v>1391</v>
      </c>
      <c r="C14" s="176"/>
      <c r="F14" s="166" t="s">
        <v>237</v>
      </c>
      <c r="G14" s="132"/>
      <c r="H14" s="132"/>
      <c r="I14" s="132"/>
      <c r="J14" s="132"/>
      <c r="K14" s="132"/>
      <c r="AE14" s="62"/>
    </row>
    <row r="15" spans="1:31" s="33" customFormat="1" x14ac:dyDescent="0.25">
      <c r="A15" s="149">
        <v>5</v>
      </c>
      <c r="B15" s="149" t="s">
        <v>1391</v>
      </c>
      <c r="C15" s="175"/>
      <c r="F15" s="184" t="s">
        <v>783</v>
      </c>
      <c r="G15" s="28"/>
      <c r="H15" s="28"/>
      <c r="I15" s="28"/>
      <c r="J15" s="28"/>
      <c r="K15" s="28"/>
      <c r="AE15" s="62"/>
    </row>
    <row r="16" spans="1:31" s="33" customFormat="1" x14ac:dyDescent="0.25">
      <c r="A16" s="155">
        <v>6</v>
      </c>
      <c r="B16" s="155" t="s">
        <v>1391</v>
      </c>
      <c r="C16" s="176"/>
      <c r="F16" s="184"/>
      <c r="G16" s="28"/>
      <c r="H16" s="28"/>
      <c r="I16" s="28"/>
      <c r="J16" s="28"/>
      <c r="K16" s="28"/>
      <c r="AE16" s="62"/>
    </row>
    <row r="17" spans="1:31" s="33" customFormat="1" x14ac:dyDescent="0.25">
      <c r="A17" s="149">
        <v>7</v>
      </c>
      <c r="B17" s="149" t="s">
        <v>1391</v>
      </c>
      <c r="C17" s="175"/>
      <c r="F17" s="188" t="s">
        <v>150</v>
      </c>
      <c r="G17" s="28"/>
      <c r="H17" s="28"/>
      <c r="I17" s="28"/>
      <c r="J17" s="28"/>
      <c r="K17" s="28"/>
      <c r="AE17" s="62"/>
    </row>
    <row r="18" spans="1:31" s="33" customFormat="1" x14ac:dyDescent="0.25">
      <c r="A18" s="155">
        <v>8</v>
      </c>
      <c r="B18" s="155" t="s">
        <v>1391</v>
      </c>
      <c r="C18" s="176"/>
      <c r="F18" s="185" t="s">
        <v>1335</v>
      </c>
      <c r="G18" s="28"/>
      <c r="H18" s="28"/>
      <c r="I18" s="28"/>
      <c r="J18" s="28"/>
      <c r="K18" s="28"/>
      <c r="AE18" s="62"/>
    </row>
    <row r="19" spans="1:31" s="33" customFormat="1" x14ac:dyDescent="0.25">
      <c r="A19" s="149">
        <v>9</v>
      </c>
      <c r="B19" s="149" t="s">
        <v>1391</v>
      </c>
      <c r="C19" s="175"/>
      <c r="F19" s="185" t="s">
        <v>1336</v>
      </c>
      <c r="G19" s="28"/>
      <c r="H19" s="28"/>
      <c r="I19" s="28"/>
      <c r="J19" s="28"/>
      <c r="K19" s="28"/>
      <c r="AE19" s="62"/>
    </row>
    <row r="20" spans="1:31" s="33" customFormat="1" x14ac:dyDescent="0.25">
      <c r="A20" s="155">
        <v>10</v>
      </c>
      <c r="B20" s="155" t="s">
        <v>1391</v>
      </c>
      <c r="C20" s="176"/>
      <c r="F20" s="185" t="s">
        <v>1337</v>
      </c>
      <c r="G20" s="28"/>
      <c r="H20" s="28"/>
      <c r="I20" s="28"/>
      <c r="J20" s="28"/>
      <c r="K20" s="28"/>
      <c r="AE20" s="62"/>
    </row>
    <row r="21" spans="1:31" s="33" customFormat="1" x14ac:dyDescent="0.25">
      <c r="A21" s="149">
        <v>11</v>
      </c>
      <c r="B21" s="149" t="s">
        <v>1391</v>
      </c>
      <c r="C21" s="175"/>
      <c r="F21" s="185" t="s">
        <v>1338</v>
      </c>
      <c r="G21" s="28"/>
      <c r="H21" s="28"/>
      <c r="I21" s="28"/>
      <c r="J21" s="28"/>
      <c r="K21" s="28"/>
      <c r="AE21" s="62"/>
    </row>
    <row r="22" spans="1:31" s="33" customFormat="1" x14ac:dyDescent="0.25">
      <c r="A22" s="155">
        <v>12</v>
      </c>
      <c r="B22" s="155" t="s">
        <v>1391</v>
      </c>
      <c r="C22" s="176"/>
      <c r="F22" s="185"/>
      <c r="G22" s="28"/>
      <c r="H22" s="28"/>
      <c r="I22" s="28"/>
      <c r="J22" s="28"/>
      <c r="K22" s="28"/>
      <c r="AE22" s="62"/>
    </row>
    <row r="23" spans="1:31" s="33" customFormat="1" x14ac:dyDescent="0.25">
      <c r="A23" s="149">
        <v>13</v>
      </c>
      <c r="B23" s="149" t="s">
        <v>1391</v>
      </c>
      <c r="C23" s="175"/>
      <c r="AE23" s="62"/>
    </row>
    <row r="24" spans="1:31" s="33" customFormat="1" x14ac:dyDescent="0.25">
      <c r="A24" s="155">
        <v>14</v>
      </c>
      <c r="B24" s="155" t="s">
        <v>1391</v>
      </c>
      <c r="C24" s="176"/>
      <c r="F24" s="28"/>
      <c r="G24" s="28"/>
      <c r="H24" s="28"/>
      <c r="I24" s="28"/>
      <c r="J24" s="28"/>
      <c r="K24" s="28"/>
      <c r="AE24" s="62"/>
    </row>
    <row r="25" spans="1:31" s="33" customFormat="1" x14ac:dyDescent="0.25">
      <c r="A25" s="149">
        <v>15</v>
      </c>
      <c r="B25" s="149" t="s">
        <v>1391</v>
      </c>
      <c r="C25" s="175"/>
      <c r="F25" s="28"/>
      <c r="G25" s="28"/>
      <c r="H25" s="28"/>
      <c r="I25" s="28"/>
      <c r="J25" s="28"/>
      <c r="K25" s="28"/>
      <c r="AE25" s="62"/>
    </row>
    <row r="26" spans="1:31" s="33" customFormat="1" x14ac:dyDescent="0.25">
      <c r="A26" s="155">
        <v>16</v>
      </c>
      <c r="B26" s="155" t="s">
        <v>1391</v>
      </c>
      <c r="C26" s="176"/>
      <c r="F26" s="28"/>
      <c r="G26" s="28"/>
      <c r="H26" s="28"/>
      <c r="I26" s="28"/>
      <c r="J26" s="28"/>
      <c r="K26" s="28"/>
      <c r="AE26" s="62"/>
    </row>
    <row r="27" spans="1:31" s="33" customFormat="1" x14ac:dyDescent="0.25">
      <c r="A27" s="149">
        <v>17</v>
      </c>
      <c r="B27" s="149" t="s">
        <v>1391</v>
      </c>
      <c r="C27" s="175"/>
      <c r="F27" s="28"/>
      <c r="G27" s="28"/>
      <c r="H27" s="28"/>
      <c r="I27" s="28"/>
      <c r="J27" s="28"/>
      <c r="K27" s="28"/>
      <c r="AE27" s="62"/>
    </row>
    <row r="28" spans="1:31" s="33" customFormat="1" x14ac:dyDescent="0.25">
      <c r="A28" s="155">
        <v>18</v>
      </c>
      <c r="B28" s="155" t="s">
        <v>1391</v>
      </c>
      <c r="C28" s="176"/>
      <c r="F28" s="28"/>
      <c r="G28" s="28"/>
      <c r="H28" s="28"/>
      <c r="I28" s="28"/>
      <c r="J28" s="28"/>
      <c r="K28" s="28"/>
      <c r="AE28" s="62"/>
    </row>
    <row r="29" spans="1:31" s="33" customFormat="1" x14ac:dyDescent="0.25">
      <c r="A29" s="149">
        <v>19</v>
      </c>
      <c r="B29" s="149" t="s">
        <v>1391</v>
      </c>
      <c r="C29" s="175"/>
      <c r="F29" s="28"/>
      <c r="G29" s="28"/>
      <c r="H29" s="28"/>
      <c r="I29" s="28"/>
      <c r="J29" s="28"/>
      <c r="K29" s="28"/>
      <c r="AE29" s="62"/>
    </row>
    <row r="30" spans="1:31" s="33" customFormat="1" x14ac:dyDescent="0.25">
      <c r="A30" s="155">
        <v>20</v>
      </c>
      <c r="B30" s="155" t="s">
        <v>1391</v>
      </c>
      <c r="C30" s="176"/>
      <c r="F30" s="28"/>
      <c r="G30" s="28"/>
      <c r="H30" s="28"/>
      <c r="I30" s="28"/>
      <c r="J30" s="28"/>
      <c r="K30" s="28"/>
      <c r="AE30" s="62"/>
    </row>
    <row r="31" spans="1:31" s="33" customFormat="1" ht="20.25" thickBot="1" x14ac:dyDescent="0.3">
      <c r="A31" s="136">
        <v>21</v>
      </c>
      <c r="B31" s="136" t="s">
        <v>1391</v>
      </c>
      <c r="C31" s="178"/>
      <c r="F31" s="28"/>
      <c r="G31" s="28"/>
      <c r="H31" s="28"/>
      <c r="I31" s="28"/>
      <c r="J31" s="28"/>
      <c r="K31" s="28"/>
      <c r="AE31" s="62"/>
    </row>
    <row r="32" spans="1:31" ht="21" x14ac:dyDescent="0.35">
      <c r="F32" s="168"/>
    </row>
    <row r="33" spans="1:6" x14ac:dyDescent="0.3">
      <c r="F33" s="184"/>
    </row>
    <row r="34" spans="1:6" x14ac:dyDescent="0.3">
      <c r="F34" s="184"/>
    </row>
    <row r="35" spans="1:6" x14ac:dyDescent="0.3">
      <c r="A35" s="131"/>
      <c r="B35" s="170" t="s">
        <v>797</v>
      </c>
      <c r="C35" s="131"/>
      <c r="F35" s="188"/>
    </row>
    <row r="36" spans="1:6" x14ac:dyDescent="0.3">
      <c r="B36" s="193" t="s">
        <v>1385</v>
      </c>
      <c r="F36" s="185"/>
    </row>
    <row r="37" spans="1:6" ht="32.25" x14ac:dyDescent="0.3">
      <c r="B37" s="192" t="s">
        <v>1370</v>
      </c>
      <c r="F37" s="185"/>
    </row>
    <row r="38" spans="1:6" x14ac:dyDescent="0.3">
      <c r="F38" s="185"/>
    </row>
    <row r="39" spans="1:6" x14ac:dyDescent="0.3">
      <c r="F39" s="185"/>
    </row>
    <row r="41" spans="1:6" x14ac:dyDescent="0.3">
      <c r="F41" s="187"/>
    </row>
  </sheetData>
  <sheetProtection algorithmName="SHA-512" hashValue="6J0PEgG+6U/Lni7VZvGw4x8qvIU3I80ayArZpQonlFwfalqa92w6z39ZunGnzFLm6mISETjRoLIEp6nfBR5k6A==" saltValue="vrB3dBVLRf9rCIE2Ifi9iw==" spinCount="100000" sheet="1" objects="1" scenarios="1"/>
  <mergeCells count="1">
    <mergeCell ref="A6:C7"/>
  </mergeCells>
  <dataValidations count="1">
    <dataValidation type="list" allowBlank="1" showInputMessage="1" showErrorMessage="1" sqref="C11:C31" xr:uid="{C83A8912-99EE-CE46-AD17-41630A7CE59F}">
      <formula1>"0,1,2,3"</formula1>
    </dataValidation>
  </dataValidations>
  <hyperlinks>
    <hyperlink ref="B37" r:id="rId1" xr:uid="{6C0D290C-67A1-4945-B62B-4CDB7CFBE06C}"/>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3720-6F8F-1B4C-BC61-7DD6F92398C3}">
  <sheetPr>
    <tabColor theme="5"/>
  </sheetPr>
  <dimension ref="A1:AE38"/>
  <sheetViews>
    <sheetView workbookViewId="0">
      <selection activeCell="C11" sqref="C11"/>
    </sheetView>
  </sheetViews>
  <sheetFormatPr defaultColWidth="10.875" defaultRowHeight="19.5" x14ac:dyDescent="0.3"/>
  <cols>
    <col min="1" max="1" width="8.375" style="28" customWidth="1"/>
    <col min="2" max="2" width="106" style="28" customWidth="1"/>
    <col min="3" max="3" width="12.5" style="28" customWidth="1"/>
    <col min="4" max="5" width="10.875" style="28"/>
    <col min="6" max="6" width="54.125" style="28" customWidth="1"/>
    <col min="7" max="9" width="12.5" style="28" customWidth="1"/>
    <col min="10" max="10" width="29.375" style="28" bestFit="1" customWidth="1"/>
    <col min="11" max="11" width="19.375"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172" t="s">
        <v>847</v>
      </c>
      <c r="F3" s="130"/>
      <c r="G3" s="130"/>
      <c r="H3" s="130"/>
      <c r="I3" s="130"/>
      <c r="J3" s="130"/>
      <c r="AE3" s="61"/>
    </row>
    <row r="5" spans="1:31" x14ac:dyDescent="0.3">
      <c r="A5" s="131" t="s">
        <v>818</v>
      </c>
      <c r="B5" s="132"/>
      <c r="C5" s="132"/>
    </row>
    <row r="6" spans="1:31" s="133" customFormat="1" ht="35.1" customHeight="1" x14ac:dyDescent="0.25">
      <c r="A6" s="339" t="s">
        <v>371</v>
      </c>
      <c r="B6" s="340"/>
      <c r="C6" s="341"/>
      <c r="AE6" s="134"/>
    </row>
    <row r="7" spans="1:31" s="133" customFormat="1" x14ac:dyDescent="0.25">
      <c r="A7" s="342" t="s">
        <v>372</v>
      </c>
      <c r="B7" s="343"/>
      <c r="C7" s="344"/>
      <c r="AE7" s="134"/>
    </row>
    <row r="8" spans="1:31" ht="20.25" thickBot="1" x14ac:dyDescent="0.35"/>
    <row r="9" spans="1:31" x14ac:dyDescent="0.3">
      <c r="A9" s="138"/>
      <c r="B9" s="139"/>
      <c r="C9" s="140"/>
      <c r="F9" s="139" t="s">
        <v>132</v>
      </c>
      <c r="G9" s="141"/>
      <c r="H9" s="142" t="s">
        <v>370</v>
      </c>
      <c r="I9" s="143"/>
      <c r="J9" s="139"/>
      <c r="K9" s="139"/>
    </row>
    <row r="10" spans="1:31" ht="75" x14ac:dyDescent="0.3">
      <c r="A10" s="194" t="s">
        <v>1</v>
      </c>
      <c r="B10" s="194" t="s">
        <v>2</v>
      </c>
      <c r="C10" s="195" t="s">
        <v>822</v>
      </c>
      <c r="F10" s="146" t="s">
        <v>133</v>
      </c>
      <c r="G10" s="147" t="s">
        <v>134</v>
      </c>
      <c r="H10" s="147" t="s">
        <v>135</v>
      </c>
      <c r="I10" s="148" t="s">
        <v>317</v>
      </c>
      <c r="J10" s="146" t="s">
        <v>136</v>
      </c>
      <c r="K10" s="146" t="s">
        <v>1448</v>
      </c>
    </row>
    <row r="11" spans="1:31" s="33" customFormat="1" x14ac:dyDescent="0.25">
      <c r="A11" s="196">
        <v>1</v>
      </c>
      <c r="B11" s="197" t="s">
        <v>373</v>
      </c>
      <c r="C11" s="205"/>
      <c r="F11" s="150" t="s">
        <v>367</v>
      </c>
      <c r="G11" s="151" t="str" cm="1">
        <f t="array" ref="G11">IF(COUNTA(C$11:C$230)&gt;0,MAX(SUMIF(A$11:A$230,{1,2},C$11:C$230)),"")</f>
        <v/>
      </c>
      <c r="H11" s="152" t="s">
        <v>740</v>
      </c>
      <c r="I11" s="198" t="str" cm="1">
        <f t="array" ref="I11">_xlfn.IFS(G11="","", G11=0,"None", G11=1,"Slight", G11=2,"Mild", G11=3,"Moderate", G11=4,"Severe")</f>
        <v/>
      </c>
      <c r="J11" s="154" t="s">
        <v>789</v>
      </c>
      <c r="K11" s="153" t="s">
        <v>1459</v>
      </c>
      <c r="AE11" s="62"/>
    </row>
    <row r="12" spans="1:31" s="33" customFormat="1" x14ac:dyDescent="0.25">
      <c r="A12" s="199">
        <v>2</v>
      </c>
      <c r="B12" s="200" t="s">
        <v>374</v>
      </c>
      <c r="C12" s="206"/>
      <c r="F12" s="157" t="s">
        <v>401</v>
      </c>
      <c r="G12" s="158" t="str" cm="1">
        <f t="array" ref="G12">IF(COUNTA(C$11:C$230)&gt;0,MAX(SUMIF(A$11:A$230,{3},C$11:C$230)),"")</f>
        <v/>
      </c>
      <c r="H12" s="159" t="s">
        <v>740</v>
      </c>
      <c r="I12" s="190" t="str" cm="1">
        <f t="array" ref="I12">_xlfn.IFS(G12="","", G12=0,"None", G12=1,"Slight", G12=2,"Mild", G12=3,"Moderate", G12=4,"Severe")</f>
        <v/>
      </c>
      <c r="J12" s="161" t="s">
        <v>823</v>
      </c>
      <c r="K12" s="160">
        <v>3</v>
      </c>
      <c r="AE12" s="62"/>
    </row>
    <row r="13" spans="1:31" s="33" customFormat="1" x14ac:dyDescent="0.25">
      <c r="A13" s="201">
        <v>3</v>
      </c>
      <c r="B13" s="202" t="s">
        <v>375</v>
      </c>
      <c r="C13" s="207"/>
      <c r="F13" s="157" t="s">
        <v>402</v>
      </c>
      <c r="G13" s="158" t="str" cm="1">
        <f t="array" ref="G13">IF(COUNTA(C$11:C$230)&gt;0,MAX(SUMIF(A$11:A$230,{4,5},C$11:C$230)),"")</f>
        <v/>
      </c>
      <c r="H13" s="159" t="s">
        <v>740</v>
      </c>
      <c r="I13" s="190" t="str" cm="1">
        <f t="array" ref="I13">_xlfn.IFS(G13="","", G13=0,"None", G13=1,"Slight", G13=2,"Mild", G13=3,"Moderate", G13=4,"Severe")</f>
        <v/>
      </c>
      <c r="J13" s="161" t="s">
        <v>825</v>
      </c>
      <c r="K13" s="160" t="s">
        <v>1460</v>
      </c>
      <c r="AE13" s="62"/>
    </row>
    <row r="14" spans="1:31" s="33" customFormat="1" x14ac:dyDescent="0.25">
      <c r="A14" s="199">
        <v>4</v>
      </c>
      <c r="B14" s="200" t="s">
        <v>376</v>
      </c>
      <c r="C14" s="206"/>
      <c r="F14" s="157" t="s">
        <v>368</v>
      </c>
      <c r="G14" s="158" t="str" cm="1">
        <f t="array" ref="G14">IF(COUNTA(C$11:C$230)&gt;0,MAX(SUMIF(A$11:A$230,{6,7,8},C$11:C$230)),"")</f>
        <v/>
      </c>
      <c r="H14" s="159" t="s">
        <v>740</v>
      </c>
      <c r="I14" s="190" t="str" cm="1">
        <f t="array" ref="I14">_xlfn.IFS(G14="","", G14=0,"None", G14=1,"Slight", G14=2,"Mild", G14=3,"Moderate", G14=4,"Severe")</f>
        <v/>
      </c>
      <c r="J14" s="161" t="s">
        <v>826</v>
      </c>
      <c r="K14" s="160" t="s">
        <v>1461</v>
      </c>
      <c r="AE14" s="62"/>
    </row>
    <row r="15" spans="1:31" s="33" customFormat="1" x14ac:dyDescent="0.25">
      <c r="A15" s="201">
        <v>5</v>
      </c>
      <c r="B15" s="202" t="s">
        <v>377</v>
      </c>
      <c r="C15" s="207"/>
      <c r="F15" s="157" t="s">
        <v>403</v>
      </c>
      <c r="G15" s="158" t="str" cm="1">
        <f t="array" ref="G15">IF(COUNTA(C$11:C$230)&gt;0,MAX(SUMIF(A$11:A$230,{9,10},C$11:C$230)),"")</f>
        <v/>
      </c>
      <c r="H15" s="159" t="s">
        <v>740</v>
      </c>
      <c r="I15" s="190" t="str" cm="1">
        <f t="array" ref="I15">_xlfn.IFS(G15="","", G15=0,"None", G15=1,"Slight", G15=2,"Mild", G15=3,"Moderate", G15=4,"Severe")</f>
        <v/>
      </c>
      <c r="J15" s="161" t="s">
        <v>403</v>
      </c>
      <c r="K15" s="160" t="s">
        <v>1462</v>
      </c>
      <c r="AE15" s="62"/>
    </row>
    <row r="16" spans="1:31" s="33" customFormat="1" x14ac:dyDescent="0.25">
      <c r="A16" s="199">
        <v>6</v>
      </c>
      <c r="B16" s="200" t="s">
        <v>378</v>
      </c>
      <c r="C16" s="206"/>
      <c r="F16" s="157" t="s">
        <v>404</v>
      </c>
      <c r="G16" s="158" t="str" cm="1">
        <f t="array" ref="G16">IF(COUNTA(C$11:C$230)&gt;0,MAX(SUMIF(A$11:A$230,{11},C$11:C$230)),"")</f>
        <v/>
      </c>
      <c r="H16" s="159" t="s">
        <v>740</v>
      </c>
      <c r="I16" s="190" t="str" cm="1">
        <f t="array" ref="I16">_xlfn.IFS(G16="","", G16=0,"None", G16=1,"Slight", G16=2,"Mild", G16=3,"Moderate", G16=4,"Severe")</f>
        <v/>
      </c>
      <c r="J16" s="161" t="s">
        <v>404</v>
      </c>
      <c r="K16" s="160">
        <v>11</v>
      </c>
      <c r="AE16" s="62"/>
    </row>
    <row r="17" spans="1:31" s="33" customFormat="1" x14ac:dyDescent="0.25">
      <c r="A17" s="201">
        <v>7</v>
      </c>
      <c r="B17" s="202" t="s">
        <v>379</v>
      </c>
      <c r="C17" s="207"/>
      <c r="F17" s="157" t="s">
        <v>405</v>
      </c>
      <c r="G17" s="158" t="str" cm="1">
        <f t="array" ref="G17">IF(COUNTA(C$11:C$230)&gt;0,MAX(SUMIF(A$11:A$230,{12,13},C$11:C$230)),"")</f>
        <v/>
      </c>
      <c r="H17" s="159" t="s">
        <v>740</v>
      </c>
      <c r="I17" s="190" t="str" cm="1">
        <f t="array" ref="I17">_xlfn.IFS(G17="","", G17=0,"None", G17=1,"Slight", G17=2,"Mild", G17=3,"Moderate", G17=4,"Severe")</f>
        <v/>
      </c>
      <c r="J17" s="161" t="s">
        <v>827</v>
      </c>
      <c r="K17" s="160" t="s">
        <v>1463</v>
      </c>
      <c r="AE17" s="62"/>
    </row>
    <row r="18" spans="1:31" s="33" customFormat="1" x14ac:dyDescent="0.25">
      <c r="A18" s="199">
        <v>8</v>
      </c>
      <c r="B18" s="200" t="s">
        <v>380</v>
      </c>
      <c r="C18" s="206"/>
      <c r="F18" s="157" t="s">
        <v>406</v>
      </c>
      <c r="G18" s="158" t="str" cm="1">
        <f t="array" ref="G18">IF(COUNTA(C$11:C$230)&gt;0,MAX(SUMIF(A$11:A$230,{14},C$11:C$230)),"")</f>
        <v/>
      </c>
      <c r="H18" s="159" t="s">
        <v>740</v>
      </c>
      <c r="I18" s="190" t="str" cm="1">
        <f t="array" ref="I18">_xlfn.IFS(G18="","", G18=0,"None", G18=1,"Slight", G18=2,"Mild", G18=3,"Moderate", G18=4,"Severe")</f>
        <v/>
      </c>
      <c r="J18" s="161" t="s">
        <v>406</v>
      </c>
      <c r="K18" s="160">
        <v>14</v>
      </c>
      <c r="AE18" s="62"/>
    </row>
    <row r="19" spans="1:31" s="33" customFormat="1" x14ac:dyDescent="0.25">
      <c r="A19" s="201">
        <v>9</v>
      </c>
      <c r="B19" s="202" t="s">
        <v>381</v>
      </c>
      <c r="C19" s="207"/>
      <c r="F19" s="157" t="s">
        <v>407</v>
      </c>
      <c r="G19" s="158" t="str" cm="1">
        <f t="array" ref="G19">IF(COUNTA(C$11:C$230)&gt;0,MAX(SUMIF(A$11:A$230,{15},C$11:C$230)),"")</f>
        <v/>
      </c>
      <c r="H19" s="159" t="s">
        <v>740</v>
      </c>
      <c r="I19" s="190" t="str" cm="1">
        <f t="array" ref="I19">_xlfn.IFS(G19="","", G19=0,"None", G19=1,"Slight", G19=2,"Mild", G19=3,"Moderate", G19=4,"Severe")</f>
        <v/>
      </c>
      <c r="J19" s="161" t="s">
        <v>828</v>
      </c>
      <c r="K19" s="160">
        <v>15</v>
      </c>
      <c r="AE19" s="62"/>
    </row>
    <row r="20" spans="1:31" s="33" customFormat="1" x14ac:dyDescent="0.25">
      <c r="A20" s="199">
        <v>10</v>
      </c>
      <c r="B20" s="200" t="s">
        <v>382</v>
      </c>
      <c r="C20" s="206"/>
      <c r="F20" s="157" t="s">
        <v>642</v>
      </c>
      <c r="G20" s="158" t="str" cm="1">
        <f t="array" ref="G20">IF(COUNTA(C$11:C$230)&gt;0,MAX(SUMIF(A$11:A$230,{16,17},C$11:C$230)),"")</f>
        <v/>
      </c>
      <c r="H20" s="159" t="s">
        <v>740</v>
      </c>
      <c r="I20" s="190" t="str" cm="1">
        <f t="array" ref="I20">_xlfn.IFS(G20="","", G20=0,"None", G20=1,"Slight", G20=2,"Mild", G20=3,"Moderate", G20=4,"Severe")</f>
        <v/>
      </c>
      <c r="J20" s="161" t="s">
        <v>829</v>
      </c>
      <c r="K20" s="160" t="s">
        <v>1464</v>
      </c>
      <c r="AE20" s="62"/>
    </row>
    <row r="21" spans="1:31" s="33" customFormat="1" x14ac:dyDescent="0.25">
      <c r="A21" s="201">
        <v>11</v>
      </c>
      <c r="B21" s="202" t="s">
        <v>383</v>
      </c>
      <c r="C21" s="207"/>
      <c r="F21" s="157" t="s">
        <v>408</v>
      </c>
      <c r="G21" s="158" t="str" cm="1">
        <f t="array" ref="G21">IF(COUNTA(C$11:C$230)&gt;0,MAX(SUMIF(A$11:A$230,{18},C$11:C$230)),"")</f>
        <v/>
      </c>
      <c r="H21" s="159" t="s">
        <v>740</v>
      </c>
      <c r="I21" s="190" t="str" cm="1">
        <f t="array" ref="I21">_xlfn.IFS(G21="","", G21=0,"None", G21=1,"Slight", G21=2,"Mild", G21=3,"Moderate", G21=4,"Severe")</f>
        <v/>
      </c>
      <c r="J21" s="161" t="s">
        <v>824</v>
      </c>
      <c r="K21" s="160">
        <v>18</v>
      </c>
      <c r="AE21" s="62"/>
    </row>
    <row r="22" spans="1:31" s="33" customFormat="1" x14ac:dyDescent="0.25">
      <c r="A22" s="199">
        <v>12</v>
      </c>
      <c r="B22" s="200" t="s">
        <v>384</v>
      </c>
      <c r="C22" s="206"/>
      <c r="F22" s="157" t="s">
        <v>409</v>
      </c>
      <c r="G22" s="158" t="str" cm="1">
        <f t="array" ref="G22">IF(COUNTA(C$11:C$230)&gt;0,MAX(SUMIF(A$11:A$230,{19,20},C$11:C$230)),"")</f>
        <v/>
      </c>
      <c r="H22" s="159" t="s">
        <v>740</v>
      </c>
      <c r="I22" s="190" t="str" cm="1">
        <f t="array" ref="I22">_xlfn.IFS(G22="","", G22=0,"None", G22=1,"Slight", G22=2,"Mild", G22=3,"Moderate", G22=4,"Severe")</f>
        <v/>
      </c>
      <c r="J22" s="161" t="s">
        <v>830</v>
      </c>
      <c r="K22" s="160" t="s">
        <v>1465</v>
      </c>
      <c r="AE22" s="62"/>
    </row>
    <row r="23" spans="1:31" s="33" customFormat="1" x14ac:dyDescent="0.25">
      <c r="A23" s="201">
        <v>13</v>
      </c>
      <c r="B23" s="202" t="s">
        <v>385</v>
      </c>
      <c r="C23" s="207"/>
      <c r="F23" s="162" t="s">
        <v>410</v>
      </c>
      <c r="G23" s="135" t="str" cm="1">
        <f t="array" ref="G23">IF(COUNTA(C$11:C$230)&gt;0,MAX(SUMIF(A$11:A$230,{21,22,23},C$11:C$230)),"")</f>
        <v/>
      </c>
      <c r="H23" s="163" t="s">
        <v>740</v>
      </c>
      <c r="I23" s="137" t="str" cm="1">
        <f t="array" ref="I23">_xlfn.IFS(G23="","", G23=0,"None", G23=1,"Slight", G23=2,"Mild", G23=3,"Moderate", G23=4,"Severe")</f>
        <v/>
      </c>
      <c r="J23" s="165" t="s">
        <v>831</v>
      </c>
      <c r="K23" s="164" t="s">
        <v>1466</v>
      </c>
      <c r="AE23" s="62"/>
    </row>
    <row r="24" spans="1:31" s="33" customFormat="1" x14ac:dyDescent="0.25">
      <c r="A24" s="199">
        <v>14</v>
      </c>
      <c r="B24" s="200" t="s">
        <v>386</v>
      </c>
      <c r="C24" s="206"/>
      <c r="F24" s="28"/>
      <c r="G24" s="28"/>
      <c r="H24" s="28"/>
      <c r="I24" s="28"/>
      <c r="J24" s="28"/>
      <c r="K24" s="28"/>
      <c r="AE24" s="62"/>
    </row>
    <row r="25" spans="1:31" s="33" customFormat="1" x14ac:dyDescent="0.25">
      <c r="A25" s="201">
        <v>15</v>
      </c>
      <c r="B25" s="202" t="s">
        <v>387</v>
      </c>
      <c r="C25" s="207"/>
      <c r="F25" s="28"/>
      <c r="G25" s="28"/>
      <c r="H25" s="28"/>
      <c r="I25" s="28"/>
      <c r="J25" s="28"/>
      <c r="K25" s="28"/>
      <c r="AE25" s="62"/>
    </row>
    <row r="26" spans="1:31" s="33" customFormat="1" ht="21" x14ac:dyDescent="0.35">
      <c r="A26" s="199">
        <v>16</v>
      </c>
      <c r="B26" s="200" t="s">
        <v>388</v>
      </c>
      <c r="C26" s="206"/>
      <c r="F26" s="166" t="s">
        <v>237</v>
      </c>
      <c r="G26" s="132"/>
      <c r="H26" s="132"/>
      <c r="I26" s="132"/>
      <c r="J26" s="132"/>
      <c r="K26" s="132"/>
      <c r="AE26" s="62"/>
    </row>
    <row r="27" spans="1:31" x14ac:dyDescent="0.3">
      <c r="A27" s="201">
        <v>17</v>
      </c>
      <c r="B27" s="202" t="s">
        <v>389</v>
      </c>
      <c r="C27" s="207"/>
      <c r="F27" s="33" t="s">
        <v>782</v>
      </c>
    </row>
    <row r="28" spans="1:31" x14ac:dyDescent="0.3">
      <c r="A28" s="199">
        <v>18</v>
      </c>
      <c r="B28" s="200" t="s">
        <v>390</v>
      </c>
      <c r="C28" s="206"/>
      <c r="F28" s="33"/>
    </row>
    <row r="29" spans="1:31" x14ac:dyDescent="0.3">
      <c r="A29" s="201">
        <v>19</v>
      </c>
      <c r="B29" s="202" t="s">
        <v>391</v>
      </c>
      <c r="C29" s="207"/>
      <c r="F29" s="51" t="s">
        <v>150</v>
      </c>
    </row>
    <row r="30" spans="1:31" x14ac:dyDescent="0.3">
      <c r="A30" s="199">
        <v>20</v>
      </c>
      <c r="B30" s="200" t="s">
        <v>392</v>
      </c>
      <c r="C30" s="206"/>
      <c r="F30" s="101" t="s">
        <v>396</v>
      </c>
    </row>
    <row r="31" spans="1:31" x14ac:dyDescent="0.3">
      <c r="A31" s="201">
        <v>21</v>
      </c>
      <c r="B31" s="202" t="s">
        <v>393</v>
      </c>
      <c r="C31" s="207"/>
      <c r="F31" s="101" t="s">
        <v>397</v>
      </c>
    </row>
    <row r="32" spans="1:31" x14ac:dyDescent="0.3">
      <c r="A32" s="199">
        <v>22</v>
      </c>
      <c r="B32" s="200" t="s">
        <v>394</v>
      </c>
      <c r="C32" s="206"/>
      <c r="F32" s="101" t="s">
        <v>398</v>
      </c>
    </row>
    <row r="33" spans="1:6" ht="63.75" thickBot="1" x14ac:dyDescent="0.35">
      <c r="A33" s="136">
        <v>23</v>
      </c>
      <c r="B33" s="203" t="s">
        <v>395</v>
      </c>
      <c r="C33" s="178"/>
      <c r="F33" s="101" t="s">
        <v>399</v>
      </c>
    </row>
    <row r="34" spans="1:6" x14ac:dyDescent="0.3">
      <c r="F34" s="101" t="s">
        <v>400</v>
      </c>
    </row>
    <row r="35" spans="1:6" x14ac:dyDescent="0.3">
      <c r="F35" s="101"/>
    </row>
    <row r="36" spans="1:6" x14ac:dyDescent="0.3">
      <c r="A36" s="131"/>
      <c r="B36" s="170" t="s">
        <v>797</v>
      </c>
      <c r="C36" s="131"/>
    </row>
    <row r="37" spans="1:6" x14ac:dyDescent="0.3">
      <c r="B37" s="70" t="s">
        <v>842</v>
      </c>
    </row>
    <row r="38" spans="1:6" x14ac:dyDescent="0.3">
      <c r="B38" s="204" t="s">
        <v>807</v>
      </c>
    </row>
  </sheetData>
  <sheetProtection algorithmName="SHA-512" hashValue="yX3dDxzQ0VbPivUshPvoScsy9Q9xfLFd5vddwJZUOVylCkGFg0eC7CZrHlL7imr5TXS4nAv0nkD1R35FuSGldg==" saltValue="aAcJjVzsmO9a7V3c3zi0Lw==" spinCount="100000" sheet="1" objects="1" scenarios="1"/>
  <mergeCells count="2">
    <mergeCell ref="A6:C6"/>
    <mergeCell ref="A7:C7"/>
  </mergeCells>
  <dataValidations count="1">
    <dataValidation type="list" allowBlank="1" showInputMessage="1" showErrorMessage="1" sqref="C11:C33" xr:uid="{12FAF4CE-A343-EC41-9665-A0B3248F673F}">
      <formula1>"0,1,2,3,4"</formula1>
    </dataValidation>
  </dataValidations>
  <hyperlinks>
    <hyperlink ref="B38" r:id="rId1" xr:uid="{65A076CF-7CB0-42F1-9D30-D3F7F35F1D28}"/>
  </hyperlinks>
  <pageMargins left="0.7" right="0.7" top="0.75" bottom="0.75" header="0.3" footer="0.3"/>
  <ignoredErrors>
    <ignoredError sqref="K17" twoDigitTextYear="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78867-B700-CE4C-8351-EECFFD3C6760}">
  <sheetPr>
    <tabColor theme="5"/>
  </sheetPr>
  <dimension ref="A1:AE37"/>
  <sheetViews>
    <sheetView workbookViewId="0">
      <selection activeCell="C11" sqref="C11"/>
    </sheetView>
  </sheetViews>
  <sheetFormatPr defaultColWidth="10.875" defaultRowHeight="19.5" x14ac:dyDescent="0.3"/>
  <cols>
    <col min="1" max="1" width="8.375" style="28" customWidth="1"/>
    <col min="2" max="2" width="106" style="28" customWidth="1"/>
    <col min="3" max="3" width="12.5" style="28" customWidth="1"/>
    <col min="4" max="5" width="10.875" style="28"/>
    <col min="6" max="6" width="54.125" style="28" customWidth="1"/>
    <col min="7" max="8" width="12.5" style="28" customWidth="1"/>
    <col min="9" max="9" width="30" style="28" bestFit="1" customWidth="1"/>
    <col min="10" max="10" width="19.625" style="28" bestFit="1" customWidth="1"/>
    <col min="11" max="11" width="52.5"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172" t="s">
        <v>1181</v>
      </c>
      <c r="F3" s="130"/>
      <c r="G3" s="130"/>
      <c r="H3" s="130"/>
      <c r="I3" s="130"/>
      <c r="J3" s="130"/>
      <c r="AE3" s="61"/>
    </row>
    <row r="5" spans="1:31" x14ac:dyDescent="0.3">
      <c r="A5" s="131" t="s">
        <v>818</v>
      </c>
      <c r="B5" s="132"/>
      <c r="C5" s="132"/>
    </row>
    <row r="6" spans="1:31" s="179" customFormat="1" ht="35.1" customHeight="1" x14ac:dyDescent="0.25">
      <c r="A6" s="351" t="s">
        <v>1190</v>
      </c>
      <c r="B6" s="352"/>
      <c r="C6" s="353"/>
      <c r="AE6" s="208"/>
    </row>
    <row r="7" spans="1:31" s="133" customFormat="1" x14ac:dyDescent="0.25">
      <c r="A7" s="354" t="s">
        <v>1189</v>
      </c>
      <c r="B7" s="355"/>
      <c r="C7" s="356"/>
      <c r="AE7" s="134"/>
    </row>
    <row r="8" spans="1:31" ht="20.25" thickBot="1" x14ac:dyDescent="0.35"/>
    <row r="9" spans="1:31" x14ac:dyDescent="0.3">
      <c r="A9" s="138"/>
      <c r="B9" s="139"/>
      <c r="C9" s="140"/>
      <c r="F9" s="139" t="s">
        <v>132</v>
      </c>
      <c r="G9" s="141"/>
      <c r="H9" s="142" t="s">
        <v>1179</v>
      </c>
      <c r="I9" s="143"/>
      <c r="J9" s="139"/>
      <c r="K9" s="139"/>
    </row>
    <row r="10" spans="1:31" ht="75" x14ac:dyDescent="0.3">
      <c r="A10" s="144" t="s">
        <v>1</v>
      </c>
      <c r="B10" s="144" t="s">
        <v>2</v>
      </c>
      <c r="C10" s="145" t="s">
        <v>822</v>
      </c>
      <c r="F10" s="146" t="s">
        <v>138</v>
      </c>
      <c r="G10" s="147" t="s">
        <v>134</v>
      </c>
      <c r="H10" s="147" t="s">
        <v>135</v>
      </c>
      <c r="I10" s="148" t="s">
        <v>317</v>
      </c>
      <c r="J10" s="146" t="s">
        <v>136</v>
      </c>
      <c r="K10" s="146" t="s">
        <v>1448</v>
      </c>
    </row>
    <row r="11" spans="1:31" s="33" customFormat="1" x14ac:dyDescent="0.25">
      <c r="A11" s="149">
        <v>1</v>
      </c>
      <c r="B11" s="70" t="s">
        <v>1191</v>
      </c>
      <c r="C11" s="175"/>
      <c r="D11" s="209"/>
      <c r="F11" s="8" t="s">
        <v>279</v>
      </c>
      <c r="G11" s="180" t="str" cm="1">
        <f t="array" ref="G11">IF(COUNTA(C$11:C$230)&gt;0,SUM(SUMIF(A$11:A$230,{1,2,3,4,5,6,7,8,9,10,11,12,13,14,15,16,17,18,19,20},C$11:C$230)),"")</f>
        <v/>
      </c>
      <c r="H11" s="181" t="s">
        <v>740</v>
      </c>
      <c r="I11" s="210" t="str" cm="1">
        <f t="array" ref="I11">_xlfn.IFS(G11="","",G11&lt;=30,"Not elevated ",G11&gt;=31,"Clinically elevated PTSD symptoms")</f>
        <v/>
      </c>
      <c r="J11" s="183" t="s">
        <v>1380</v>
      </c>
      <c r="K11" s="183" t="s">
        <v>1467</v>
      </c>
      <c r="AE11" s="62"/>
    </row>
    <row r="12" spans="1:31" s="33" customFormat="1" x14ac:dyDescent="0.25">
      <c r="A12" s="155">
        <v>2</v>
      </c>
      <c r="B12" s="189" t="s">
        <v>1192</v>
      </c>
      <c r="C12" s="176"/>
      <c r="D12" s="209"/>
      <c r="AE12" s="62"/>
    </row>
    <row r="13" spans="1:31" s="70" customFormat="1" ht="31.5" x14ac:dyDescent="0.25">
      <c r="A13" s="211">
        <v>3</v>
      </c>
      <c r="B13" s="70" t="s">
        <v>1193</v>
      </c>
      <c r="C13" s="215"/>
      <c r="D13" s="212"/>
      <c r="F13" s="186"/>
      <c r="G13" s="186"/>
      <c r="H13" s="186"/>
      <c r="I13" s="186"/>
      <c r="J13" s="186"/>
      <c r="K13" s="186"/>
      <c r="AE13" s="71"/>
    </row>
    <row r="14" spans="1:31" s="33" customFormat="1" ht="21" x14ac:dyDescent="0.35">
      <c r="A14" s="155">
        <v>4</v>
      </c>
      <c r="B14" s="189" t="s">
        <v>1194</v>
      </c>
      <c r="C14" s="176"/>
      <c r="D14" s="209"/>
      <c r="F14" s="166" t="s">
        <v>237</v>
      </c>
      <c r="G14" s="132"/>
      <c r="H14" s="132"/>
      <c r="I14" s="132"/>
      <c r="J14" s="132"/>
      <c r="K14" s="132"/>
      <c r="AE14" s="62"/>
    </row>
    <row r="15" spans="1:31" s="33" customFormat="1" ht="31.5" x14ac:dyDescent="0.25">
      <c r="A15" s="149">
        <v>5</v>
      </c>
      <c r="B15" s="70" t="s">
        <v>1195</v>
      </c>
      <c r="C15" s="175"/>
      <c r="D15" s="209"/>
      <c r="F15" s="184" t="s">
        <v>1381</v>
      </c>
      <c r="G15" s="28"/>
      <c r="H15" s="28"/>
      <c r="I15" s="28"/>
      <c r="J15" s="28"/>
      <c r="K15" s="28"/>
      <c r="AE15" s="62"/>
    </row>
    <row r="16" spans="1:31" s="33" customFormat="1" x14ac:dyDescent="0.25">
      <c r="A16" s="155">
        <v>6</v>
      </c>
      <c r="B16" s="189" t="s">
        <v>1196</v>
      </c>
      <c r="C16" s="176"/>
      <c r="D16" s="209"/>
      <c r="F16" s="213"/>
      <c r="G16" s="28"/>
      <c r="H16" s="28"/>
      <c r="I16" s="28"/>
      <c r="J16" s="28"/>
      <c r="K16" s="28"/>
      <c r="AE16" s="62"/>
    </row>
    <row r="17" spans="1:31" s="33" customFormat="1" ht="31.5" x14ac:dyDescent="0.25">
      <c r="A17" s="149">
        <v>7</v>
      </c>
      <c r="B17" s="70" t="s">
        <v>1197</v>
      </c>
      <c r="C17" s="175"/>
      <c r="D17" s="209"/>
      <c r="F17" s="51" t="s">
        <v>150</v>
      </c>
      <c r="G17" s="28"/>
      <c r="H17" s="28"/>
      <c r="I17" s="28"/>
      <c r="J17" s="28"/>
      <c r="K17" s="28"/>
      <c r="AE17" s="62"/>
    </row>
    <row r="18" spans="1:31" s="33" customFormat="1" x14ac:dyDescent="0.25">
      <c r="A18" s="155">
        <v>8</v>
      </c>
      <c r="B18" s="189" t="s">
        <v>1198</v>
      </c>
      <c r="C18" s="176"/>
      <c r="D18" s="209"/>
      <c r="F18" s="185" t="s">
        <v>1213</v>
      </c>
      <c r="G18" s="28"/>
      <c r="H18" s="28"/>
      <c r="I18" s="28"/>
      <c r="J18" s="28"/>
      <c r="K18" s="28"/>
      <c r="AE18" s="62"/>
    </row>
    <row r="19" spans="1:31" s="33" customFormat="1" ht="31.5" x14ac:dyDescent="0.25">
      <c r="A19" s="149">
        <v>9</v>
      </c>
      <c r="B19" s="70" t="s">
        <v>1199</v>
      </c>
      <c r="C19" s="175"/>
      <c r="D19" s="209"/>
      <c r="F19" s="185" t="s">
        <v>1214</v>
      </c>
      <c r="G19" s="28"/>
      <c r="H19" s="28"/>
      <c r="I19" s="28"/>
      <c r="J19" s="28"/>
      <c r="K19" s="28"/>
      <c r="AE19" s="62"/>
    </row>
    <row r="20" spans="1:31" s="33" customFormat="1" x14ac:dyDescent="0.25">
      <c r="A20" s="155">
        <v>10</v>
      </c>
      <c r="B20" s="189" t="s">
        <v>1200</v>
      </c>
      <c r="C20" s="176"/>
      <c r="D20" s="209"/>
      <c r="G20" s="28"/>
      <c r="H20" s="28"/>
      <c r="I20" s="28"/>
      <c r="J20" s="28"/>
      <c r="K20" s="28"/>
      <c r="AE20" s="62"/>
    </row>
    <row r="21" spans="1:31" s="33" customFormat="1" x14ac:dyDescent="0.25">
      <c r="A21" s="149">
        <v>11</v>
      </c>
      <c r="B21" s="70" t="s">
        <v>1201</v>
      </c>
      <c r="C21" s="175"/>
      <c r="AE21" s="62"/>
    </row>
    <row r="22" spans="1:31" s="33" customFormat="1" x14ac:dyDescent="0.25">
      <c r="A22" s="155">
        <v>12</v>
      </c>
      <c r="B22" s="189" t="s">
        <v>1202</v>
      </c>
      <c r="C22" s="176"/>
      <c r="AE22" s="62"/>
    </row>
    <row r="23" spans="1:31" s="33" customFormat="1" x14ac:dyDescent="0.25">
      <c r="A23" s="149">
        <v>13</v>
      </c>
      <c r="B23" s="70" t="s">
        <v>1203</v>
      </c>
      <c r="C23" s="175"/>
      <c r="AE23" s="62"/>
    </row>
    <row r="24" spans="1:31" s="33" customFormat="1" ht="31.5" x14ac:dyDescent="0.25">
      <c r="A24" s="155">
        <v>14</v>
      </c>
      <c r="B24" s="189" t="s">
        <v>1204</v>
      </c>
      <c r="C24" s="176"/>
      <c r="F24" s="185"/>
      <c r="G24" s="28"/>
      <c r="H24" s="28"/>
      <c r="I24" s="28"/>
      <c r="J24" s="28"/>
      <c r="K24" s="28"/>
      <c r="AE24" s="62"/>
    </row>
    <row r="25" spans="1:31" s="33" customFormat="1" x14ac:dyDescent="0.25">
      <c r="A25" s="149">
        <v>15</v>
      </c>
      <c r="B25" s="70" t="s">
        <v>1205</v>
      </c>
      <c r="C25" s="175"/>
      <c r="F25" s="28"/>
      <c r="G25" s="28"/>
      <c r="H25" s="28"/>
      <c r="I25" s="28"/>
      <c r="J25" s="28"/>
      <c r="K25" s="28"/>
      <c r="AE25" s="62"/>
    </row>
    <row r="26" spans="1:31" s="33" customFormat="1" x14ac:dyDescent="0.25">
      <c r="A26" s="155">
        <v>16</v>
      </c>
      <c r="B26" s="189" t="s">
        <v>1206</v>
      </c>
      <c r="C26" s="176"/>
      <c r="F26" s="28"/>
      <c r="G26" s="28"/>
      <c r="H26" s="28"/>
      <c r="I26" s="28"/>
      <c r="J26" s="28"/>
      <c r="K26" s="28"/>
      <c r="AE26" s="62"/>
    </row>
    <row r="27" spans="1:31" s="33" customFormat="1" x14ac:dyDescent="0.25">
      <c r="A27" s="149">
        <v>17</v>
      </c>
      <c r="B27" s="70" t="s">
        <v>1207</v>
      </c>
      <c r="C27" s="175"/>
      <c r="F27" s="184"/>
      <c r="G27" s="28"/>
      <c r="H27" s="28"/>
      <c r="I27" s="28"/>
      <c r="J27" s="28"/>
      <c r="K27" s="28"/>
      <c r="AE27" s="62"/>
    </row>
    <row r="28" spans="1:31" ht="21" x14ac:dyDescent="0.35">
      <c r="A28" s="155">
        <v>18</v>
      </c>
      <c r="B28" s="189" t="s">
        <v>1208</v>
      </c>
      <c r="C28" s="176"/>
      <c r="F28" s="168"/>
    </row>
    <row r="29" spans="1:31" x14ac:dyDescent="0.3">
      <c r="A29" s="149">
        <v>19</v>
      </c>
      <c r="B29" s="70" t="s">
        <v>1209</v>
      </c>
      <c r="C29" s="175"/>
      <c r="F29" s="184"/>
    </row>
    <row r="30" spans="1:31" ht="20.25" thickBot="1" x14ac:dyDescent="0.35">
      <c r="A30" s="173">
        <v>20</v>
      </c>
      <c r="B30" s="214" t="s">
        <v>1210</v>
      </c>
      <c r="C30" s="177"/>
      <c r="F30" s="33"/>
    </row>
    <row r="31" spans="1:31" x14ac:dyDescent="0.3">
      <c r="F31" s="51"/>
    </row>
    <row r="32" spans="1:31" x14ac:dyDescent="0.3">
      <c r="F32" s="185"/>
    </row>
    <row r="33" spans="1:6" x14ac:dyDescent="0.3">
      <c r="A33" s="131"/>
      <c r="B33" s="170" t="s">
        <v>797</v>
      </c>
      <c r="C33" s="131"/>
      <c r="F33" s="185"/>
    </row>
    <row r="34" spans="1:6" ht="32.25" x14ac:dyDescent="0.3">
      <c r="B34" s="186" t="s">
        <v>1371</v>
      </c>
      <c r="F34" s="185"/>
    </row>
    <row r="35" spans="1:6" x14ac:dyDescent="0.3">
      <c r="F35" s="185"/>
    </row>
    <row r="37" spans="1:6" x14ac:dyDescent="0.3">
      <c r="F37" s="187"/>
    </row>
  </sheetData>
  <sheetProtection algorithmName="SHA-512" hashValue="mc5VugtgKHn6dozb2DgULdxQAHYA9aHu5Pt0SlLjUdpnXryZgxDJfXUj6nlave+beOzpJzwgWI5jLHSo8icVWQ==" saltValue="woXlwIYLRl7DYt6pMGfLyA==" spinCount="100000" sheet="1" objects="1" scenarios="1"/>
  <mergeCells count="2">
    <mergeCell ref="A6:C6"/>
    <mergeCell ref="A7:C7"/>
  </mergeCells>
  <dataValidations count="1">
    <dataValidation type="list" allowBlank="1" showInputMessage="1" showErrorMessage="1" sqref="C11:C30" xr:uid="{4B0B1588-13B3-8349-AFDC-98812EE0A0CA}">
      <formula1>"0,1,2,3,4"</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A17D5-85DB-8F43-AA6F-76B0116D53AB}">
  <sheetPr>
    <tabColor theme="5"/>
  </sheetPr>
  <dimension ref="A1:AE232"/>
  <sheetViews>
    <sheetView workbookViewId="0">
      <selection activeCell="C13" sqref="C13"/>
    </sheetView>
  </sheetViews>
  <sheetFormatPr defaultColWidth="10.875" defaultRowHeight="19.5" x14ac:dyDescent="0.3"/>
  <cols>
    <col min="1" max="1" width="8.375" style="28" customWidth="1"/>
    <col min="2" max="2" width="106" style="28" customWidth="1"/>
    <col min="3" max="3" width="12.5" style="28" customWidth="1"/>
    <col min="4" max="5" width="10.875" style="28"/>
    <col min="6" max="6" width="54.125" style="28" customWidth="1"/>
    <col min="7" max="8" width="12.5" style="28" customWidth="1"/>
    <col min="9" max="9" width="38.5" style="28" bestFit="1" customWidth="1"/>
    <col min="10" max="10" width="178" style="28" bestFit="1" customWidth="1"/>
    <col min="11" max="11" width="49.5"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172" t="s">
        <v>1178</v>
      </c>
      <c r="F3" s="130"/>
      <c r="G3" s="130"/>
      <c r="H3" s="130"/>
      <c r="I3" s="130"/>
      <c r="J3" s="130"/>
      <c r="AE3" s="61"/>
    </row>
    <row r="5" spans="1:31" x14ac:dyDescent="0.3">
      <c r="A5" s="131" t="s">
        <v>818</v>
      </c>
      <c r="B5" s="132"/>
      <c r="C5" s="132"/>
    </row>
    <row r="6" spans="1:31" s="133" customFormat="1" ht="35.1" customHeight="1" x14ac:dyDescent="0.25">
      <c r="A6" s="361" t="s">
        <v>1225</v>
      </c>
      <c r="B6" s="362"/>
      <c r="C6" s="363"/>
      <c r="AE6" s="134"/>
    </row>
    <row r="7" spans="1:31" s="133" customFormat="1" x14ac:dyDescent="0.25">
      <c r="A7" s="342"/>
      <c r="B7" s="343"/>
      <c r="C7" s="344"/>
      <c r="AE7" s="134"/>
    </row>
    <row r="8" spans="1:31" ht="20.25" thickBot="1" x14ac:dyDescent="0.35"/>
    <row r="9" spans="1:31" x14ac:dyDescent="0.3">
      <c r="A9" s="138"/>
      <c r="B9" s="139"/>
      <c r="C9" s="140"/>
      <c r="E9" s="216"/>
      <c r="F9" s="139" t="s">
        <v>132</v>
      </c>
      <c r="G9" s="141"/>
      <c r="H9" s="142" t="s">
        <v>1177</v>
      </c>
      <c r="I9" s="143"/>
      <c r="J9" s="139"/>
      <c r="K9" s="139"/>
    </row>
    <row r="10" spans="1:31" ht="75" x14ac:dyDescent="0.3">
      <c r="A10" s="131" t="s">
        <v>1</v>
      </c>
      <c r="B10" s="217" t="s">
        <v>2</v>
      </c>
      <c r="C10" s="218" t="s">
        <v>1221</v>
      </c>
      <c r="E10" s="219"/>
      <c r="F10" s="146" t="s">
        <v>133</v>
      </c>
      <c r="G10" s="147" t="s">
        <v>1366</v>
      </c>
      <c r="H10" s="147" t="s">
        <v>135</v>
      </c>
      <c r="I10" s="148" t="s">
        <v>317</v>
      </c>
      <c r="J10" s="146" t="s">
        <v>136</v>
      </c>
      <c r="K10" s="146" t="s">
        <v>1448</v>
      </c>
    </row>
    <row r="11" spans="1:31" s="33" customFormat="1" ht="35.1" customHeight="1" x14ac:dyDescent="0.25">
      <c r="A11" s="364" t="s">
        <v>1224</v>
      </c>
      <c r="B11" s="364"/>
      <c r="C11" s="365"/>
      <c r="D11" s="28"/>
      <c r="F11" s="157" t="s">
        <v>1215</v>
      </c>
      <c r="G11" s="220" t="str" cm="1">
        <f t="array" ref="G11">IF(COUNTA(C$11:C$231)&gt;0,AVERAGE(SUMIF(A$11:A$231,{1,2,3,4,5},C$11:C$231)),"")</f>
        <v/>
      </c>
      <c r="H11" s="152" t="s">
        <v>740</v>
      </c>
      <c r="I11" s="198" t="s">
        <v>1102</v>
      </c>
      <c r="J11" s="221" t="s">
        <v>1394</v>
      </c>
      <c r="K11" s="221" t="s">
        <v>1468</v>
      </c>
      <c r="AE11" s="62"/>
    </row>
    <row r="12" spans="1:31" s="33" customFormat="1" x14ac:dyDescent="0.25">
      <c r="A12" s="359" t="s">
        <v>1226</v>
      </c>
      <c r="B12" s="359"/>
      <c r="C12" s="360"/>
      <c r="D12" s="28"/>
      <c r="F12" s="157" t="s">
        <v>1216</v>
      </c>
      <c r="G12" s="222" t="str" cm="1">
        <f t="array" ref="G12">IF(COUNTA(C$11:C$231)&gt;0,AVERAGE(SUMIF(A$11:A$231,{7,9,19,21,20},C$11:C$231)),"")</f>
        <v/>
      </c>
      <c r="H12" s="159" t="s">
        <v>740</v>
      </c>
      <c r="I12" s="190" t="s">
        <v>1102</v>
      </c>
      <c r="J12" s="223" t="s">
        <v>1411</v>
      </c>
      <c r="K12" s="223" t="s">
        <v>1469</v>
      </c>
      <c r="AE12" s="62"/>
    </row>
    <row r="13" spans="1:31" s="33" customFormat="1" ht="31.5" x14ac:dyDescent="0.25">
      <c r="A13" s="149">
        <v>1</v>
      </c>
      <c r="B13" s="70" t="s">
        <v>1249</v>
      </c>
      <c r="C13" s="175"/>
      <c r="D13" s="28"/>
      <c r="F13" s="157" t="s">
        <v>1217</v>
      </c>
      <c r="G13" s="222" t="str" cm="1">
        <f t="array" ref="G13">IF(COUNTA(C$11:C$231)&gt;0,AVERAGE(SUMIF(A$11:A$231,{6,8,10,11,23,26,27,28},C$11:C$231)),"")</f>
        <v/>
      </c>
      <c r="H13" s="159" t="s">
        <v>740</v>
      </c>
      <c r="I13" s="190" t="s">
        <v>1102</v>
      </c>
      <c r="J13" s="223" t="s">
        <v>1412</v>
      </c>
      <c r="K13" s="223" t="s">
        <v>1650</v>
      </c>
      <c r="AE13" s="62"/>
    </row>
    <row r="14" spans="1:31" s="33" customFormat="1" ht="31.5" x14ac:dyDescent="0.25">
      <c r="A14" s="155">
        <v>2</v>
      </c>
      <c r="B14" s="189" t="s">
        <v>1243</v>
      </c>
      <c r="C14" s="176"/>
      <c r="D14" s="28"/>
      <c r="F14" s="157" t="s">
        <v>1218</v>
      </c>
      <c r="G14" s="222" t="str" cm="1">
        <f t="array" ref="G14">IF(COUNTA(C$11:C$231)&gt;0,AVERAGE(SUMIF(A$11:A$231,{8,12,22,24,25},C$11:C$231)),"")</f>
        <v/>
      </c>
      <c r="H14" s="159" t="s">
        <v>740</v>
      </c>
      <c r="I14" s="190" t="s">
        <v>1102</v>
      </c>
      <c r="J14" s="223" t="s">
        <v>1413</v>
      </c>
      <c r="K14" s="223" t="s">
        <v>1651</v>
      </c>
      <c r="AE14" s="62"/>
    </row>
    <row r="15" spans="1:31" s="33" customFormat="1" ht="31.5" x14ac:dyDescent="0.25">
      <c r="A15" s="149">
        <v>3</v>
      </c>
      <c r="B15" s="70" t="s">
        <v>1250</v>
      </c>
      <c r="C15" s="175"/>
      <c r="D15" s="28"/>
      <c r="F15" s="224" t="s">
        <v>1003</v>
      </c>
      <c r="G15" s="225"/>
      <c r="H15" s="226"/>
      <c r="I15" s="227"/>
      <c r="J15" s="228"/>
      <c r="K15" s="229" t="s">
        <v>1598</v>
      </c>
      <c r="AE15" s="62"/>
    </row>
    <row r="16" spans="1:31" s="33" customFormat="1" ht="31.5" x14ac:dyDescent="0.25">
      <c r="A16" s="155">
        <v>4</v>
      </c>
      <c r="B16" s="189" t="s">
        <v>1244</v>
      </c>
      <c r="C16" s="176"/>
      <c r="D16" s="28"/>
      <c r="F16" s="162" t="s">
        <v>1382</v>
      </c>
      <c r="G16" s="230" t="str" cm="1">
        <f t="array" ref="G16">IF(SUM(G$11:G$14)&gt;0,AVERAGE(SUMIF(F$11:F$14,{"Restraint","Eating concern","Shape concern","Weight concern"},G$11:G$14)),"")</f>
        <v/>
      </c>
      <c r="H16" s="163" t="s">
        <v>740</v>
      </c>
      <c r="I16" s="137" t="str" cm="1">
        <f t="array" ref="I16">_xlfn.IFS(G16="","",G16&lt;2.8,"Not elevated",G16&gt;=2.8,"Clinically elevated eating disorder symptoms")</f>
        <v/>
      </c>
      <c r="J16" s="231"/>
      <c r="K16" s="231" t="s">
        <v>1470</v>
      </c>
      <c r="AE16" s="62"/>
    </row>
    <row r="17" spans="1:31" s="33" customFormat="1" x14ac:dyDescent="0.25">
      <c r="A17" s="149">
        <v>5</v>
      </c>
      <c r="B17" s="70" t="s">
        <v>1251</v>
      </c>
      <c r="C17" s="175"/>
      <c r="D17" s="28"/>
      <c r="F17" s="28"/>
      <c r="G17" s="28"/>
      <c r="H17" s="28"/>
      <c r="I17" s="232"/>
      <c r="J17" s="28"/>
      <c r="K17" s="28"/>
      <c r="AE17" s="62"/>
    </row>
    <row r="18" spans="1:31" s="33" customFormat="1" x14ac:dyDescent="0.25">
      <c r="A18" s="155">
        <v>6</v>
      </c>
      <c r="B18" s="189" t="s">
        <v>1252</v>
      </c>
      <c r="C18" s="176"/>
      <c r="D18" s="28"/>
      <c r="F18" s="28"/>
      <c r="G18" s="233"/>
      <c r="H18" s="28"/>
      <c r="I18" s="28"/>
      <c r="J18" s="28"/>
      <c r="K18" s="28"/>
      <c r="AE18" s="62"/>
    </row>
    <row r="19" spans="1:31" s="33" customFormat="1" ht="31.5" x14ac:dyDescent="0.35">
      <c r="A19" s="149">
        <v>7</v>
      </c>
      <c r="B19" s="70" t="s">
        <v>1245</v>
      </c>
      <c r="C19" s="175"/>
      <c r="D19" s="28"/>
      <c r="F19" s="166" t="s">
        <v>237</v>
      </c>
      <c r="G19" s="132"/>
      <c r="H19" s="132"/>
      <c r="I19" s="132"/>
      <c r="J19" s="132"/>
      <c r="K19" s="132"/>
      <c r="AE19" s="62"/>
    </row>
    <row r="20" spans="1:31" s="33" customFormat="1" ht="31.5" x14ac:dyDescent="0.25">
      <c r="A20" s="155">
        <v>8</v>
      </c>
      <c r="B20" s="189" t="s">
        <v>1246</v>
      </c>
      <c r="C20" s="176"/>
      <c r="D20" s="28"/>
      <c r="F20" s="184" t="s">
        <v>1376</v>
      </c>
      <c r="G20" s="28"/>
      <c r="H20" s="28"/>
      <c r="I20" s="28"/>
      <c r="J20" s="28"/>
      <c r="K20" s="28"/>
      <c r="AE20" s="62"/>
    </row>
    <row r="21" spans="1:31" s="33" customFormat="1" x14ac:dyDescent="0.25">
      <c r="A21" s="149">
        <v>9</v>
      </c>
      <c r="B21" s="70" t="s">
        <v>1247</v>
      </c>
      <c r="C21" s="175"/>
      <c r="D21" s="28"/>
      <c r="F21" s="184"/>
      <c r="G21" s="28"/>
      <c r="H21" s="28"/>
      <c r="I21" s="28"/>
      <c r="J21" s="28"/>
      <c r="K21" s="28"/>
      <c r="AE21" s="62"/>
    </row>
    <row r="22" spans="1:31" s="33" customFormat="1" x14ac:dyDescent="0.25">
      <c r="A22" s="155">
        <v>10</v>
      </c>
      <c r="B22" s="189" t="s">
        <v>1236</v>
      </c>
      <c r="C22" s="176"/>
      <c r="D22" s="28"/>
      <c r="F22" s="51" t="s">
        <v>1647</v>
      </c>
      <c r="G22" s="28"/>
      <c r="H22" s="28"/>
      <c r="I22" s="28"/>
      <c r="J22" s="28"/>
      <c r="K22" s="28"/>
      <c r="AE22" s="62"/>
    </row>
    <row r="23" spans="1:31" s="33" customFormat="1" x14ac:dyDescent="0.25">
      <c r="A23" s="149">
        <v>11</v>
      </c>
      <c r="B23" s="70" t="s">
        <v>1248</v>
      </c>
      <c r="C23" s="175"/>
      <c r="D23" s="28"/>
      <c r="F23" s="185" t="s">
        <v>1219</v>
      </c>
      <c r="G23" s="28"/>
      <c r="H23" s="28"/>
      <c r="I23" s="28"/>
      <c r="J23" s="28"/>
      <c r="K23" s="28"/>
      <c r="AE23" s="62"/>
    </row>
    <row r="24" spans="1:31" s="33" customFormat="1" x14ac:dyDescent="0.25">
      <c r="A24" s="155">
        <v>12</v>
      </c>
      <c r="B24" s="189" t="s">
        <v>1237</v>
      </c>
      <c r="C24" s="176"/>
      <c r="D24" s="28"/>
      <c r="F24" s="185" t="s">
        <v>1220</v>
      </c>
      <c r="G24" s="28"/>
      <c r="H24" s="28"/>
      <c r="I24" s="28"/>
      <c r="J24" s="28"/>
      <c r="K24" s="28"/>
      <c r="AE24" s="62"/>
    </row>
    <row r="25" spans="1:31" s="33" customFormat="1" ht="35.1" customHeight="1" x14ac:dyDescent="0.25">
      <c r="A25" s="357" t="s">
        <v>1591</v>
      </c>
      <c r="B25" s="357"/>
      <c r="C25" s="358"/>
      <c r="D25" s="28"/>
      <c r="F25" s="101"/>
      <c r="G25" s="28"/>
      <c r="H25" s="28"/>
      <c r="I25" s="28"/>
      <c r="J25" s="28"/>
      <c r="K25" s="28"/>
      <c r="AE25" s="62"/>
    </row>
    <row r="26" spans="1:31" s="33" customFormat="1" x14ac:dyDescent="0.25">
      <c r="A26" s="234"/>
      <c r="B26" s="235" t="s">
        <v>1592</v>
      </c>
      <c r="C26" s="236"/>
      <c r="D26" s="28"/>
      <c r="F26" s="101"/>
      <c r="G26" s="28"/>
      <c r="H26" s="28"/>
      <c r="I26" s="28"/>
      <c r="J26" s="28"/>
      <c r="K26" s="28"/>
      <c r="AE26" s="62"/>
    </row>
    <row r="27" spans="1:31" s="33" customFormat="1" ht="31.5" x14ac:dyDescent="0.25">
      <c r="A27" s="149">
        <v>13</v>
      </c>
      <c r="B27" s="70" t="s">
        <v>1254</v>
      </c>
      <c r="C27" s="175"/>
      <c r="D27" s="28"/>
      <c r="G27" s="28"/>
      <c r="AE27" s="62"/>
    </row>
    <row r="28" spans="1:31" x14ac:dyDescent="0.3">
      <c r="A28" s="155">
        <v>14</v>
      </c>
      <c r="B28" s="189" t="s">
        <v>1253</v>
      </c>
      <c r="C28" s="176"/>
      <c r="E28" s="33"/>
    </row>
    <row r="29" spans="1:31" ht="31.5" x14ac:dyDescent="0.35">
      <c r="A29" s="149">
        <v>15</v>
      </c>
      <c r="B29" s="70" t="s">
        <v>1255</v>
      </c>
      <c r="C29" s="175"/>
      <c r="E29" s="33"/>
      <c r="F29" s="168"/>
    </row>
    <row r="30" spans="1:31" x14ac:dyDescent="0.3">
      <c r="A30" s="155">
        <v>16</v>
      </c>
      <c r="B30" s="189" t="s">
        <v>1256</v>
      </c>
      <c r="C30" s="176"/>
      <c r="E30" s="33"/>
      <c r="F30" s="184"/>
    </row>
    <row r="31" spans="1:31" x14ac:dyDescent="0.3">
      <c r="A31" s="149">
        <v>17</v>
      </c>
      <c r="B31" s="70" t="s">
        <v>1257</v>
      </c>
      <c r="C31" s="175"/>
      <c r="E31" s="33"/>
      <c r="F31" s="184"/>
    </row>
    <row r="32" spans="1:31" ht="31.5" x14ac:dyDescent="0.3">
      <c r="A32" s="155">
        <v>18</v>
      </c>
      <c r="B32" s="189" t="s">
        <v>1258</v>
      </c>
      <c r="C32" s="176"/>
      <c r="E32" s="33"/>
      <c r="F32" s="184"/>
    </row>
    <row r="33" spans="1:6" ht="35.1" customHeight="1" x14ac:dyDescent="0.3">
      <c r="A33" s="357" t="s">
        <v>1222</v>
      </c>
      <c r="B33" s="357"/>
      <c r="C33" s="358"/>
      <c r="E33" s="33"/>
      <c r="F33" s="101"/>
    </row>
    <row r="34" spans="1:6" x14ac:dyDescent="0.3">
      <c r="A34" s="359" t="s">
        <v>1226</v>
      </c>
      <c r="B34" s="359"/>
      <c r="C34" s="360"/>
      <c r="E34" s="33"/>
      <c r="F34" s="101"/>
    </row>
    <row r="35" spans="1:6" x14ac:dyDescent="0.3">
      <c r="A35" s="149">
        <v>19</v>
      </c>
      <c r="B35" s="70" t="s">
        <v>1259</v>
      </c>
      <c r="C35" s="175"/>
      <c r="E35" s="33"/>
      <c r="F35" s="101"/>
    </row>
    <row r="36" spans="1:6" ht="31.5" x14ac:dyDescent="0.3">
      <c r="A36" s="155">
        <v>20</v>
      </c>
      <c r="B36" s="189" t="s">
        <v>1395</v>
      </c>
      <c r="C36" s="176"/>
      <c r="E36" s="33"/>
      <c r="F36" s="102"/>
    </row>
    <row r="37" spans="1:6" ht="31.5" x14ac:dyDescent="0.3">
      <c r="A37" s="149">
        <v>21</v>
      </c>
      <c r="B37" s="70" t="s">
        <v>1396</v>
      </c>
      <c r="C37" s="175"/>
      <c r="E37" s="33"/>
      <c r="F37" s="102"/>
    </row>
    <row r="38" spans="1:6" x14ac:dyDescent="0.3">
      <c r="A38" s="357" t="s">
        <v>1223</v>
      </c>
      <c r="B38" s="357"/>
      <c r="C38" s="358"/>
      <c r="E38" s="33"/>
    </row>
    <row r="39" spans="1:6" x14ac:dyDescent="0.3">
      <c r="A39" s="359" t="s">
        <v>1227</v>
      </c>
      <c r="B39" s="359"/>
      <c r="C39" s="360"/>
      <c r="E39" s="33"/>
    </row>
    <row r="40" spans="1:6" x14ac:dyDescent="0.3">
      <c r="A40" s="155">
        <v>22</v>
      </c>
      <c r="B40" s="189" t="s">
        <v>1260</v>
      </c>
      <c r="C40" s="176"/>
      <c r="E40" s="33"/>
    </row>
    <row r="41" spans="1:6" x14ac:dyDescent="0.3">
      <c r="A41" s="149">
        <v>23</v>
      </c>
      <c r="B41" s="70" t="s">
        <v>1261</v>
      </c>
      <c r="C41" s="175"/>
      <c r="E41" s="33"/>
    </row>
    <row r="42" spans="1:6" ht="31.5" x14ac:dyDescent="0.3">
      <c r="A42" s="155">
        <v>24</v>
      </c>
      <c r="B42" s="189" t="s">
        <v>1262</v>
      </c>
      <c r="C42" s="176"/>
      <c r="E42" s="33"/>
    </row>
    <row r="43" spans="1:6" x14ac:dyDescent="0.3">
      <c r="A43" s="149">
        <v>25</v>
      </c>
      <c r="B43" s="70" t="s">
        <v>1263</v>
      </c>
      <c r="C43" s="175"/>
      <c r="E43" s="33"/>
    </row>
    <row r="44" spans="1:6" x14ac:dyDescent="0.3">
      <c r="A44" s="155">
        <v>26</v>
      </c>
      <c r="B44" s="189" t="s">
        <v>1264</v>
      </c>
      <c r="C44" s="176"/>
      <c r="E44" s="33"/>
    </row>
    <row r="45" spans="1:6" ht="31.5" x14ac:dyDescent="0.3">
      <c r="A45" s="149">
        <v>27</v>
      </c>
      <c r="B45" s="70" t="s">
        <v>1265</v>
      </c>
      <c r="C45" s="175"/>
      <c r="E45" s="33"/>
    </row>
    <row r="46" spans="1:6" ht="32.25" thickBot="1" x14ac:dyDescent="0.35">
      <c r="A46" s="173">
        <v>28</v>
      </c>
      <c r="B46" s="214" t="s">
        <v>1266</v>
      </c>
      <c r="C46" s="177"/>
      <c r="E46" s="33"/>
    </row>
    <row r="47" spans="1:6" x14ac:dyDescent="0.3">
      <c r="A47" s="237"/>
      <c r="B47" s="237"/>
      <c r="E47" s="33"/>
    </row>
    <row r="48" spans="1:6" x14ac:dyDescent="0.3">
      <c r="E48" s="33"/>
    </row>
    <row r="49" spans="1:5" x14ac:dyDescent="0.3">
      <c r="A49" s="131"/>
      <c r="B49" s="170" t="s">
        <v>797</v>
      </c>
      <c r="C49" s="131"/>
      <c r="E49" s="33"/>
    </row>
    <row r="50" spans="1:5" ht="32.25" x14ac:dyDescent="0.3">
      <c r="B50" s="171" t="s">
        <v>1386</v>
      </c>
      <c r="E50" s="33"/>
    </row>
    <row r="51" spans="1:5" x14ac:dyDescent="0.3">
      <c r="E51" s="33"/>
    </row>
    <row r="52" spans="1:5" x14ac:dyDescent="0.3">
      <c r="E52" s="33"/>
    </row>
    <row r="53" spans="1:5" x14ac:dyDescent="0.3">
      <c r="E53" s="33"/>
    </row>
    <row r="54" spans="1:5" x14ac:dyDescent="0.3">
      <c r="E54" s="33"/>
    </row>
    <row r="55" spans="1:5" x14ac:dyDescent="0.3">
      <c r="E55" s="33"/>
    </row>
    <row r="56" spans="1:5" x14ac:dyDescent="0.3">
      <c r="E56" s="33"/>
    </row>
    <row r="57" spans="1:5" x14ac:dyDescent="0.3">
      <c r="E57" s="33"/>
    </row>
    <row r="58" spans="1:5" x14ac:dyDescent="0.3">
      <c r="E58" s="33"/>
    </row>
    <row r="59" spans="1:5" x14ac:dyDescent="0.3">
      <c r="E59" s="33"/>
    </row>
    <row r="60" spans="1:5" x14ac:dyDescent="0.3">
      <c r="E60" s="33"/>
    </row>
    <row r="61" spans="1:5" x14ac:dyDescent="0.3">
      <c r="E61" s="33"/>
    </row>
    <row r="62" spans="1:5" x14ac:dyDescent="0.3">
      <c r="E62" s="33"/>
    </row>
    <row r="63" spans="1:5" x14ac:dyDescent="0.3">
      <c r="E63" s="33"/>
    </row>
    <row r="64" spans="1:5" x14ac:dyDescent="0.3">
      <c r="E64" s="33"/>
    </row>
    <row r="65" spans="5:5" x14ac:dyDescent="0.3">
      <c r="E65" s="33"/>
    </row>
    <row r="66" spans="5:5" x14ac:dyDescent="0.3">
      <c r="E66" s="33"/>
    </row>
    <row r="67" spans="5:5" x14ac:dyDescent="0.3">
      <c r="E67" s="33"/>
    </row>
    <row r="68" spans="5:5" x14ac:dyDescent="0.3">
      <c r="E68" s="33"/>
    </row>
    <row r="69" spans="5:5" x14ac:dyDescent="0.3">
      <c r="E69" s="33"/>
    </row>
    <row r="70" spans="5:5" x14ac:dyDescent="0.3">
      <c r="E70" s="33"/>
    </row>
    <row r="71" spans="5:5" x14ac:dyDescent="0.3">
      <c r="E71" s="33"/>
    </row>
    <row r="72" spans="5:5" x14ac:dyDescent="0.3">
      <c r="E72" s="33"/>
    </row>
    <row r="73" spans="5:5" x14ac:dyDescent="0.3">
      <c r="E73" s="33"/>
    </row>
    <row r="74" spans="5:5" x14ac:dyDescent="0.3">
      <c r="E74" s="33"/>
    </row>
    <row r="75" spans="5:5" x14ac:dyDescent="0.3">
      <c r="E75" s="33"/>
    </row>
    <row r="76" spans="5:5" x14ac:dyDescent="0.3">
      <c r="E76" s="33"/>
    </row>
    <row r="77" spans="5:5" x14ac:dyDescent="0.3">
      <c r="E77" s="33"/>
    </row>
    <row r="78" spans="5:5" x14ac:dyDescent="0.3">
      <c r="E78" s="33"/>
    </row>
    <row r="79" spans="5:5" x14ac:dyDescent="0.3">
      <c r="E79" s="33"/>
    </row>
    <row r="80" spans="5:5" x14ac:dyDescent="0.3">
      <c r="E80" s="33"/>
    </row>
    <row r="81" spans="5:5" x14ac:dyDescent="0.3">
      <c r="E81" s="33"/>
    </row>
    <row r="82" spans="5:5" x14ac:dyDescent="0.3">
      <c r="E82" s="33"/>
    </row>
    <row r="83" spans="5:5" x14ac:dyDescent="0.3">
      <c r="E83" s="33"/>
    </row>
    <row r="84" spans="5:5" x14ac:dyDescent="0.3">
      <c r="E84" s="33"/>
    </row>
    <row r="85" spans="5:5" x14ac:dyDescent="0.3">
      <c r="E85" s="33"/>
    </row>
    <row r="86" spans="5:5" x14ac:dyDescent="0.3">
      <c r="E86" s="33"/>
    </row>
    <row r="87" spans="5:5" x14ac:dyDescent="0.3">
      <c r="E87" s="33"/>
    </row>
    <row r="88" spans="5:5" x14ac:dyDescent="0.3">
      <c r="E88" s="33"/>
    </row>
    <row r="89" spans="5:5" x14ac:dyDescent="0.3">
      <c r="E89" s="33"/>
    </row>
    <row r="90" spans="5:5" x14ac:dyDescent="0.3">
      <c r="E90" s="33"/>
    </row>
    <row r="91" spans="5:5" x14ac:dyDescent="0.3">
      <c r="E91" s="33"/>
    </row>
    <row r="92" spans="5:5" x14ac:dyDescent="0.3">
      <c r="E92" s="33"/>
    </row>
    <row r="93" spans="5:5" x14ac:dyDescent="0.3">
      <c r="E93" s="33"/>
    </row>
    <row r="94" spans="5:5" x14ac:dyDescent="0.3">
      <c r="E94" s="33"/>
    </row>
    <row r="95" spans="5:5" x14ac:dyDescent="0.3">
      <c r="E95" s="33"/>
    </row>
    <row r="96" spans="5:5" x14ac:dyDescent="0.3">
      <c r="E96" s="33"/>
    </row>
    <row r="97" spans="5:5" x14ac:dyDescent="0.3">
      <c r="E97" s="33"/>
    </row>
    <row r="98" spans="5:5" x14ac:dyDescent="0.3">
      <c r="E98" s="33"/>
    </row>
    <row r="99" spans="5:5" x14ac:dyDescent="0.3">
      <c r="E99" s="33"/>
    </row>
    <row r="100" spans="5:5" x14ac:dyDescent="0.3">
      <c r="E100" s="33"/>
    </row>
    <row r="101" spans="5:5" x14ac:dyDescent="0.3">
      <c r="E101" s="33"/>
    </row>
    <row r="102" spans="5:5" x14ac:dyDescent="0.3">
      <c r="E102" s="33"/>
    </row>
    <row r="103" spans="5:5" x14ac:dyDescent="0.3">
      <c r="E103" s="33"/>
    </row>
    <row r="104" spans="5:5" x14ac:dyDescent="0.3">
      <c r="E104" s="33"/>
    </row>
    <row r="105" spans="5:5" x14ac:dyDescent="0.3">
      <c r="E105" s="33"/>
    </row>
    <row r="106" spans="5:5" x14ac:dyDescent="0.3">
      <c r="E106" s="33"/>
    </row>
    <row r="107" spans="5:5" x14ac:dyDescent="0.3">
      <c r="E107" s="33"/>
    </row>
    <row r="108" spans="5:5" x14ac:dyDescent="0.3">
      <c r="E108" s="33"/>
    </row>
    <row r="109" spans="5:5" x14ac:dyDescent="0.3">
      <c r="E109" s="33"/>
    </row>
    <row r="110" spans="5:5" x14ac:dyDescent="0.3">
      <c r="E110" s="33"/>
    </row>
    <row r="111" spans="5:5" x14ac:dyDescent="0.3">
      <c r="E111" s="33"/>
    </row>
    <row r="112" spans="5:5" x14ac:dyDescent="0.3">
      <c r="E112" s="33"/>
    </row>
    <row r="113" spans="5:5" x14ac:dyDescent="0.3">
      <c r="E113" s="33"/>
    </row>
    <row r="114" spans="5:5" x14ac:dyDescent="0.3">
      <c r="E114" s="33"/>
    </row>
    <row r="115" spans="5:5" x14ac:dyDescent="0.3">
      <c r="E115" s="33"/>
    </row>
    <row r="116" spans="5:5" x14ac:dyDescent="0.3">
      <c r="E116" s="33"/>
    </row>
    <row r="117" spans="5:5" x14ac:dyDescent="0.3">
      <c r="E117" s="33"/>
    </row>
    <row r="118" spans="5:5" x14ac:dyDescent="0.3">
      <c r="E118" s="33"/>
    </row>
    <row r="119" spans="5:5" x14ac:dyDescent="0.3">
      <c r="E119" s="33"/>
    </row>
    <row r="120" spans="5:5" x14ac:dyDescent="0.3">
      <c r="E120" s="33"/>
    </row>
    <row r="121" spans="5:5" x14ac:dyDescent="0.3">
      <c r="E121" s="33"/>
    </row>
    <row r="122" spans="5:5" x14ac:dyDescent="0.3">
      <c r="E122" s="33"/>
    </row>
    <row r="123" spans="5:5" x14ac:dyDescent="0.3">
      <c r="E123" s="33"/>
    </row>
    <row r="124" spans="5:5" x14ac:dyDescent="0.3">
      <c r="E124" s="33"/>
    </row>
    <row r="125" spans="5:5" x14ac:dyDescent="0.3">
      <c r="E125" s="33"/>
    </row>
    <row r="126" spans="5:5" x14ac:dyDescent="0.3">
      <c r="E126" s="33"/>
    </row>
    <row r="127" spans="5:5" x14ac:dyDescent="0.3">
      <c r="E127" s="33"/>
    </row>
    <row r="128" spans="5:5" x14ac:dyDescent="0.3">
      <c r="E128" s="33"/>
    </row>
    <row r="129" spans="5:5" x14ac:dyDescent="0.3">
      <c r="E129" s="33"/>
    </row>
    <row r="130" spans="5:5" x14ac:dyDescent="0.3">
      <c r="E130" s="33"/>
    </row>
    <row r="131" spans="5:5" x14ac:dyDescent="0.3">
      <c r="E131" s="33"/>
    </row>
    <row r="132" spans="5:5" x14ac:dyDescent="0.3">
      <c r="E132" s="33"/>
    </row>
    <row r="133" spans="5:5" x14ac:dyDescent="0.3">
      <c r="E133" s="33"/>
    </row>
    <row r="134" spans="5:5" x14ac:dyDescent="0.3">
      <c r="E134" s="33"/>
    </row>
    <row r="135" spans="5:5" x14ac:dyDescent="0.3">
      <c r="E135" s="33"/>
    </row>
    <row r="136" spans="5:5" x14ac:dyDescent="0.3">
      <c r="E136" s="33"/>
    </row>
    <row r="137" spans="5:5" x14ac:dyDescent="0.3">
      <c r="E137" s="33"/>
    </row>
    <row r="138" spans="5:5" x14ac:dyDescent="0.3">
      <c r="E138" s="33"/>
    </row>
    <row r="139" spans="5:5" x14ac:dyDescent="0.3">
      <c r="E139" s="33"/>
    </row>
    <row r="140" spans="5:5" x14ac:dyDescent="0.3">
      <c r="E140" s="33"/>
    </row>
    <row r="141" spans="5:5" x14ac:dyDescent="0.3">
      <c r="E141" s="33"/>
    </row>
    <row r="142" spans="5:5" x14ac:dyDescent="0.3">
      <c r="E142" s="33"/>
    </row>
    <row r="143" spans="5:5" x14ac:dyDescent="0.3">
      <c r="E143" s="33"/>
    </row>
    <row r="144" spans="5:5" x14ac:dyDescent="0.3">
      <c r="E144" s="33"/>
    </row>
    <row r="145" spans="5:5" x14ac:dyDescent="0.3">
      <c r="E145" s="33"/>
    </row>
    <row r="146" spans="5:5" x14ac:dyDescent="0.3">
      <c r="E146" s="33"/>
    </row>
    <row r="147" spans="5:5" x14ac:dyDescent="0.3">
      <c r="E147" s="33"/>
    </row>
    <row r="148" spans="5:5" x14ac:dyDescent="0.3">
      <c r="E148" s="33"/>
    </row>
    <row r="149" spans="5:5" x14ac:dyDescent="0.3">
      <c r="E149" s="33"/>
    </row>
    <row r="150" spans="5:5" x14ac:dyDescent="0.3">
      <c r="E150" s="33"/>
    </row>
    <row r="151" spans="5:5" x14ac:dyDescent="0.3">
      <c r="E151" s="33"/>
    </row>
    <row r="152" spans="5:5" x14ac:dyDescent="0.3">
      <c r="E152" s="33"/>
    </row>
    <row r="153" spans="5:5" x14ac:dyDescent="0.3">
      <c r="E153" s="33"/>
    </row>
    <row r="154" spans="5:5" x14ac:dyDescent="0.3">
      <c r="E154" s="33"/>
    </row>
    <row r="155" spans="5:5" x14ac:dyDescent="0.3">
      <c r="E155" s="33"/>
    </row>
    <row r="156" spans="5:5" x14ac:dyDescent="0.3">
      <c r="E156" s="33"/>
    </row>
    <row r="157" spans="5:5" x14ac:dyDescent="0.3">
      <c r="E157" s="33"/>
    </row>
    <row r="158" spans="5:5" x14ac:dyDescent="0.3">
      <c r="E158" s="33"/>
    </row>
    <row r="159" spans="5:5" x14ac:dyDescent="0.3">
      <c r="E159" s="33"/>
    </row>
    <row r="160" spans="5:5" x14ac:dyDescent="0.3">
      <c r="E160" s="33"/>
    </row>
    <row r="161" spans="5:5" x14ac:dyDescent="0.3">
      <c r="E161" s="33"/>
    </row>
    <row r="162" spans="5:5" x14ac:dyDescent="0.3">
      <c r="E162" s="33"/>
    </row>
    <row r="163" spans="5:5" x14ac:dyDescent="0.3">
      <c r="E163" s="33"/>
    </row>
    <row r="164" spans="5:5" x14ac:dyDescent="0.3">
      <c r="E164" s="33"/>
    </row>
    <row r="165" spans="5:5" x14ac:dyDescent="0.3">
      <c r="E165" s="33"/>
    </row>
    <row r="166" spans="5:5" x14ac:dyDescent="0.3">
      <c r="E166" s="33"/>
    </row>
    <row r="167" spans="5:5" x14ac:dyDescent="0.3">
      <c r="E167" s="33"/>
    </row>
    <row r="168" spans="5:5" x14ac:dyDescent="0.3">
      <c r="E168" s="33"/>
    </row>
    <row r="169" spans="5:5" x14ac:dyDescent="0.3">
      <c r="E169" s="33"/>
    </row>
    <row r="170" spans="5:5" x14ac:dyDescent="0.3">
      <c r="E170" s="33"/>
    </row>
    <row r="171" spans="5:5" x14ac:dyDescent="0.3">
      <c r="E171" s="33"/>
    </row>
    <row r="172" spans="5:5" x14ac:dyDescent="0.3">
      <c r="E172" s="33"/>
    </row>
    <row r="173" spans="5:5" x14ac:dyDescent="0.3">
      <c r="E173" s="33"/>
    </row>
    <row r="174" spans="5:5" x14ac:dyDescent="0.3">
      <c r="E174" s="33"/>
    </row>
    <row r="175" spans="5:5" x14ac:dyDescent="0.3">
      <c r="E175" s="33"/>
    </row>
    <row r="176" spans="5:5" x14ac:dyDescent="0.3">
      <c r="E176" s="33"/>
    </row>
    <row r="177" spans="5:5" x14ac:dyDescent="0.3">
      <c r="E177" s="33"/>
    </row>
    <row r="178" spans="5:5" x14ac:dyDescent="0.3">
      <c r="E178" s="33"/>
    </row>
    <row r="179" spans="5:5" x14ac:dyDescent="0.3">
      <c r="E179" s="33"/>
    </row>
    <row r="180" spans="5:5" x14ac:dyDescent="0.3">
      <c r="E180" s="33"/>
    </row>
    <row r="181" spans="5:5" x14ac:dyDescent="0.3">
      <c r="E181" s="33"/>
    </row>
    <row r="182" spans="5:5" x14ac:dyDescent="0.3">
      <c r="E182" s="33"/>
    </row>
    <row r="183" spans="5:5" x14ac:dyDescent="0.3">
      <c r="E183" s="33"/>
    </row>
    <row r="184" spans="5:5" x14ac:dyDescent="0.3">
      <c r="E184" s="33"/>
    </row>
    <row r="185" spans="5:5" x14ac:dyDescent="0.3">
      <c r="E185" s="33"/>
    </row>
    <row r="186" spans="5:5" x14ac:dyDescent="0.3">
      <c r="E186" s="33"/>
    </row>
    <row r="187" spans="5:5" x14ac:dyDescent="0.3">
      <c r="E187" s="33"/>
    </row>
    <row r="188" spans="5:5" x14ac:dyDescent="0.3">
      <c r="E188" s="33"/>
    </row>
    <row r="189" spans="5:5" x14ac:dyDescent="0.3">
      <c r="E189" s="33"/>
    </row>
    <row r="190" spans="5:5" x14ac:dyDescent="0.3">
      <c r="E190" s="33"/>
    </row>
    <row r="191" spans="5:5" x14ac:dyDescent="0.3">
      <c r="E191" s="33"/>
    </row>
    <row r="192" spans="5:5" x14ac:dyDescent="0.3">
      <c r="E192" s="33"/>
    </row>
    <row r="193" spans="5:5" x14ac:dyDescent="0.3">
      <c r="E193" s="33"/>
    </row>
    <row r="194" spans="5:5" x14ac:dyDescent="0.3">
      <c r="E194" s="33"/>
    </row>
    <row r="195" spans="5:5" x14ac:dyDescent="0.3">
      <c r="E195" s="33"/>
    </row>
    <row r="196" spans="5:5" x14ac:dyDescent="0.3">
      <c r="E196" s="33"/>
    </row>
    <row r="197" spans="5:5" x14ac:dyDescent="0.3">
      <c r="E197" s="33"/>
    </row>
    <row r="198" spans="5:5" x14ac:dyDescent="0.3">
      <c r="E198" s="33"/>
    </row>
    <row r="199" spans="5:5" x14ac:dyDescent="0.3">
      <c r="E199" s="33"/>
    </row>
    <row r="200" spans="5:5" x14ac:dyDescent="0.3">
      <c r="E200" s="33"/>
    </row>
    <row r="201" spans="5:5" x14ac:dyDescent="0.3">
      <c r="E201" s="33"/>
    </row>
    <row r="202" spans="5:5" x14ac:dyDescent="0.3">
      <c r="E202" s="33"/>
    </row>
    <row r="203" spans="5:5" x14ac:dyDescent="0.3">
      <c r="E203" s="33"/>
    </row>
    <row r="204" spans="5:5" x14ac:dyDescent="0.3">
      <c r="E204" s="33"/>
    </row>
    <row r="205" spans="5:5" x14ac:dyDescent="0.3">
      <c r="E205" s="33"/>
    </row>
    <row r="206" spans="5:5" x14ac:dyDescent="0.3">
      <c r="E206" s="33"/>
    </row>
    <row r="207" spans="5:5" x14ac:dyDescent="0.3">
      <c r="E207" s="33"/>
    </row>
    <row r="208" spans="5:5" x14ac:dyDescent="0.3">
      <c r="E208" s="33"/>
    </row>
    <row r="209" spans="5:5" x14ac:dyDescent="0.3">
      <c r="E209" s="33"/>
    </row>
    <row r="210" spans="5:5" x14ac:dyDescent="0.3">
      <c r="E210" s="33"/>
    </row>
    <row r="211" spans="5:5" x14ac:dyDescent="0.3">
      <c r="E211" s="33"/>
    </row>
    <row r="212" spans="5:5" x14ac:dyDescent="0.3">
      <c r="E212" s="33"/>
    </row>
    <row r="213" spans="5:5" x14ac:dyDescent="0.3">
      <c r="E213" s="33"/>
    </row>
    <row r="214" spans="5:5" x14ac:dyDescent="0.3">
      <c r="E214" s="33"/>
    </row>
    <row r="215" spans="5:5" x14ac:dyDescent="0.3">
      <c r="E215" s="33"/>
    </row>
    <row r="216" spans="5:5" x14ac:dyDescent="0.3">
      <c r="E216" s="33"/>
    </row>
    <row r="217" spans="5:5" x14ac:dyDescent="0.3">
      <c r="E217" s="33"/>
    </row>
    <row r="218" spans="5:5" x14ac:dyDescent="0.3">
      <c r="E218" s="33"/>
    </row>
    <row r="219" spans="5:5" x14ac:dyDescent="0.3">
      <c r="E219" s="33"/>
    </row>
    <row r="220" spans="5:5" x14ac:dyDescent="0.3">
      <c r="E220" s="33"/>
    </row>
    <row r="221" spans="5:5" x14ac:dyDescent="0.3">
      <c r="E221" s="33"/>
    </row>
    <row r="222" spans="5:5" x14ac:dyDescent="0.3">
      <c r="E222" s="33"/>
    </row>
    <row r="223" spans="5:5" x14ac:dyDescent="0.3">
      <c r="E223" s="33"/>
    </row>
    <row r="224" spans="5:5" x14ac:dyDescent="0.3">
      <c r="E224" s="33"/>
    </row>
    <row r="225" spans="5:5" x14ac:dyDescent="0.3">
      <c r="E225" s="33"/>
    </row>
    <row r="226" spans="5:5" x14ac:dyDescent="0.3">
      <c r="E226" s="33"/>
    </row>
    <row r="227" spans="5:5" x14ac:dyDescent="0.3">
      <c r="E227" s="33"/>
    </row>
    <row r="228" spans="5:5" x14ac:dyDescent="0.3">
      <c r="E228" s="33"/>
    </row>
    <row r="229" spans="5:5" x14ac:dyDescent="0.3">
      <c r="E229" s="33"/>
    </row>
    <row r="230" spans="5:5" x14ac:dyDescent="0.3">
      <c r="E230" s="33"/>
    </row>
    <row r="231" spans="5:5" x14ac:dyDescent="0.3">
      <c r="E231" s="33"/>
    </row>
    <row r="232" spans="5:5" x14ac:dyDescent="0.3">
      <c r="E232" s="33"/>
    </row>
  </sheetData>
  <sheetProtection algorithmName="SHA-512" hashValue="xoWWByhw2/+sZLdE7R2pEDY7SjZGjYTmF/dS9ZSDoqlvhzyMw0+7AtAzAIZ2yZ607bb/pCE9NTE6TZ2oDSXnTw==" saltValue="xbdAZuQvoLJ97+sjir+nnA==" spinCount="100000" sheet="1" objects="1" scenarios="1"/>
  <mergeCells count="9">
    <mergeCell ref="A33:C33"/>
    <mergeCell ref="A38:C38"/>
    <mergeCell ref="A34:C34"/>
    <mergeCell ref="A39:C39"/>
    <mergeCell ref="A6:C6"/>
    <mergeCell ref="A7:C7"/>
    <mergeCell ref="A11:C11"/>
    <mergeCell ref="A12:C12"/>
    <mergeCell ref="A25:C25"/>
  </mergeCells>
  <dataValidations count="2">
    <dataValidation type="list" allowBlank="1" showInputMessage="1" showErrorMessage="1" sqref="D50:E232 C51:C242 D9" xr:uid="{8FDBEA92-4940-7341-861A-8059BB73B00E}">
      <formula1>"0,1,2,3"</formula1>
    </dataValidation>
    <dataValidation type="list" allowBlank="1" showInputMessage="1" showErrorMessage="1" sqref="C13:C24 C35:C37 C40:C46" xr:uid="{C5A2F986-90F7-E84E-864C-1534412E3AF1}">
      <formula1>"0,1,2,3,4,5,6"</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3995E-DADB-0145-AF9B-4A234597F96C}">
  <sheetPr>
    <tabColor theme="5"/>
  </sheetPr>
  <dimension ref="A1:AE185"/>
  <sheetViews>
    <sheetView workbookViewId="0">
      <selection activeCell="C13" sqref="C13"/>
    </sheetView>
  </sheetViews>
  <sheetFormatPr defaultColWidth="10.875" defaultRowHeight="19.5" x14ac:dyDescent="0.3"/>
  <cols>
    <col min="1" max="1" width="8.375" style="28" customWidth="1"/>
    <col min="2" max="2" width="106" style="28" customWidth="1"/>
    <col min="3" max="3" width="12.5" style="28" customWidth="1"/>
    <col min="4" max="5" width="10.875" style="28"/>
    <col min="6" max="6" width="54.125" style="28" customWidth="1"/>
    <col min="7" max="8" width="12.5" style="28" customWidth="1"/>
    <col min="9" max="9" width="38.5" style="28" bestFit="1" customWidth="1"/>
    <col min="10" max="10" width="29.375" style="28" bestFit="1" customWidth="1"/>
    <col min="11" max="11" width="27.625"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172" t="s">
        <v>1180</v>
      </c>
      <c r="F3" s="130"/>
      <c r="G3" s="130"/>
      <c r="H3" s="130"/>
      <c r="I3" s="130"/>
      <c r="J3" s="130"/>
      <c r="AE3" s="61"/>
    </row>
    <row r="5" spans="1:31" x14ac:dyDescent="0.3">
      <c r="A5" s="131" t="s">
        <v>818</v>
      </c>
      <c r="B5" s="132"/>
      <c r="C5" s="132"/>
    </row>
    <row r="6" spans="1:31" s="133" customFormat="1" ht="35.1" customHeight="1" x14ac:dyDescent="0.25">
      <c r="A6" s="361" t="s">
        <v>1211</v>
      </c>
      <c r="B6" s="362"/>
      <c r="C6" s="363"/>
      <c r="AE6" s="134"/>
    </row>
    <row r="7" spans="1:31" s="133" customFormat="1" x14ac:dyDescent="0.25">
      <c r="A7" s="342" t="s">
        <v>640</v>
      </c>
      <c r="B7" s="343"/>
      <c r="C7" s="344"/>
      <c r="AE7" s="134"/>
    </row>
    <row r="8" spans="1:31" ht="20.25" thickBot="1" x14ac:dyDescent="0.35"/>
    <row r="9" spans="1:31" x14ac:dyDescent="0.3">
      <c r="A9" s="138"/>
      <c r="B9" s="139"/>
      <c r="C9" s="140"/>
      <c r="E9" s="216"/>
      <c r="F9" s="139" t="s">
        <v>132</v>
      </c>
      <c r="G9" s="141"/>
      <c r="H9" s="142" t="s">
        <v>1188</v>
      </c>
      <c r="I9" s="143"/>
      <c r="J9" s="139"/>
      <c r="K9" s="139"/>
    </row>
    <row r="10" spans="1:31" ht="75" x14ac:dyDescent="0.3">
      <c r="A10" s="217" t="s">
        <v>1</v>
      </c>
      <c r="B10" s="217" t="s">
        <v>2</v>
      </c>
      <c r="C10" s="218" t="s">
        <v>821</v>
      </c>
      <c r="E10" s="219"/>
      <c r="F10" s="146" t="s">
        <v>138</v>
      </c>
      <c r="G10" s="147" t="s">
        <v>134</v>
      </c>
      <c r="H10" s="147" t="s">
        <v>135</v>
      </c>
      <c r="I10" s="148" t="s">
        <v>317</v>
      </c>
      <c r="J10" s="146" t="s">
        <v>136</v>
      </c>
      <c r="K10" s="146" t="s">
        <v>1448</v>
      </c>
    </row>
    <row r="11" spans="1:31" s="33" customFormat="1" ht="20.100000000000001" customHeight="1" x14ac:dyDescent="0.25">
      <c r="A11" s="364" t="s">
        <v>1230</v>
      </c>
      <c r="B11" s="364"/>
      <c r="C11" s="365"/>
      <c r="D11" s="28"/>
      <c r="F11" s="162" t="s">
        <v>279</v>
      </c>
      <c r="G11" s="230" t="str" cm="1">
        <f t="array" ref="G11">IF(COUNTA(C$11:C$230)&gt;0,SUM(SUMIF(A$11:A$230,{1,2,3,4,5,6,7,8,9,10,11,12},C$11:C$230)),"")</f>
        <v/>
      </c>
      <c r="H11" s="163" t="s">
        <v>740</v>
      </c>
      <c r="I11" s="164" t="str" cm="1">
        <f t="array" ref="I11">_xlfn.IFS(G11="","",G11&lt;=14,"Not elevated",G11&gt;=15,"Clinically elevated eating disorder symptoms")</f>
        <v/>
      </c>
      <c r="J11" s="231" t="s">
        <v>1377</v>
      </c>
      <c r="K11" s="231" t="s">
        <v>1471</v>
      </c>
      <c r="AE11" s="62"/>
    </row>
    <row r="12" spans="1:31" s="33" customFormat="1" ht="20.100000000000001" customHeight="1" x14ac:dyDescent="0.25">
      <c r="A12" s="359" t="s">
        <v>1231</v>
      </c>
      <c r="B12" s="359"/>
      <c r="C12" s="360"/>
      <c r="D12" s="28"/>
      <c r="F12" s="28"/>
      <c r="G12" s="28"/>
      <c r="H12" s="28"/>
      <c r="I12" s="232"/>
      <c r="J12" s="28"/>
      <c r="K12" s="28"/>
      <c r="AE12" s="62"/>
    </row>
    <row r="13" spans="1:31" s="33" customFormat="1" ht="31.5" x14ac:dyDescent="0.25">
      <c r="A13" s="238">
        <v>1</v>
      </c>
      <c r="B13" s="70" t="s">
        <v>1372</v>
      </c>
      <c r="C13" s="175"/>
      <c r="D13" s="28"/>
      <c r="F13" s="28"/>
      <c r="G13" s="28"/>
      <c r="H13" s="28"/>
      <c r="I13" s="28"/>
      <c r="J13" s="28"/>
      <c r="K13" s="28"/>
      <c r="AE13" s="62"/>
    </row>
    <row r="14" spans="1:31" s="33" customFormat="1" ht="31.5" x14ac:dyDescent="0.35">
      <c r="A14" s="239">
        <v>2</v>
      </c>
      <c r="B14" s="189" t="s">
        <v>1233</v>
      </c>
      <c r="C14" s="176"/>
      <c r="D14" s="28"/>
      <c r="F14" s="166" t="s">
        <v>237</v>
      </c>
      <c r="G14" s="132"/>
      <c r="H14" s="132"/>
      <c r="I14" s="132"/>
      <c r="J14" s="132"/>
      <c r="K14" s="132"/>
      <c r="AE14" s="62"/>
    </row>
    <row r="15" spans="1:31" s="33" customFormat="1" ht="31.5" x14ac:dyDescent="0.25">
      <c r="A15" s="238">
        <v>3</v>
      </c>
      <c r="B15" s="70" t="s">
        <v>1373</v>
      </c>
      <c r="C15" s="175"/>
      <c r="D15" s="28"/>
      <c r="F15" s="184" t="s">
        <v>1376</v>
      </c>
      <c r="G15" s="28"/>
      <c r="H15" s="28"/>
      <c r="I15" s="28"/>
      <c r="J15" s="28"/>
      <c r="K15" s="28"/>
      <c r="AE15" s="62"/>
    </row>
    <row r="16" spans="1:31" s="33" customFormat="1" ht="31.5" x14ac:dyDescent="0.25">
      <c r="A16" s="239">
        <v>4</v>
      </c>
      <c r="B16" s="189" t="s">
        <v>1374</v>
      </c>
      <c r="C16" s="176"/>
      <c r="D16" s="28"/>
      <c r="F16" s="184"/>
      <c r="G16" s="28"/>
      <c r="H16" s="28"/>
      <c r="I16" s="28"/>
      <c r="J16" s="28"/>
      <c r="K16" s="28"/>
      <c r="AE16" s="62"/>
    </row>
    <row r="17" spans="1:31" s="33" customFormat="1" x14ac:dyDescent="0.25">
      <c r="A17" s="238">
        <v>5</v>
      </c>
      <c r="B17" s="70" t="s">
        <v>1236</v>
      </c>
      <c r="C17" s="175"/>
      <c r="D17" s="28"/>
      <c r="F17" s="51" t="s">
        <v>150</v>
      </c>
      <c r="G17" s="28"/>
      <c r="H17" s="28"/>
      <c r="I17" s="28"/>
      <c r="J17" s="28"/>
      <c r="K17" s="28"/>
      <c r="AE17" s="62"/>
    </row>
    <row r="18" spans="1:31" s="33" customFormat="1" x14ac:dyDescent="0.25">
      <c r="A18" s="239">
        <v>6</v>
      </c>
      <c r="B18" s="189" t="s">
        <v>1237</v>
      </c>
      <c r="C18" s="176"/>
      <c r="D18" s="28"/>
      <c r="F18" s="185" t="s">
        <v>1229</v>
      </c>
      <c r="G18" s="28"/>
      <c r="H18" s="28"/>
      <c r="I18" s="28"/>
      <c r="J18" s="28"/>
      <c r="K18" s="28"/>
      <c r="AE18" s="62"/>
    </row>
    <row r="19" spans="1:31" s="33" customFormat="1" x14ac:dyDescent="0.25">
      <c r="A19" s="238">
        <v>7</v>
      </c>
      <c r="B19" s="70" t="s">
        <v>1238</v>
      </c>
      <c r="C19" s="175"/>
      <c r="D19" s="28"/>
      <c r="F19" s="185" t="s">
        <v>1228</v>
      </c>
      <c r="G19" s="28"/>
      <c r="H19" s="28"/>
      <c r="I19" s="28"/>
      <c r="J19" s="28"/>
      <c r="K19" s="28"/>
      <c r="AE19" s="62"/>
    </row>
    <row r="20" spans="1:31" s="33" customFormat="1" ht="31.5" x14ac:dyDescent="0.25">
      <c r="A20" s="239">
        <v>8</v>
      </c>
      <c r="B20" s="189" t="s">
        <v>1239</v>
      </c>
      <c r="C20" s="176"/>
      <c r="D20" s="28"/>
      <c r="F20" s="101"/>
      <c r="G20" s="28"/>
      <c r="H20" s="28"/>
      <c r="I20" s="28"/>
      <c r="J20" s="28"/>
      <c r="K20" s="28"/>
      <c r="AE20" s="62"/>
    </row>
    <row r="21" spans="1:31" s="33" customFormat="1" x14ac:dyDescent="0.25">
      <c r="A21" s="238">
        <v>9</v>
      </c>
      <c r="B21" s="70" t="s">
        <v>1240</v>
      </c>
      <c r="C21" s="175"/>
      <c r="D21" s="28"/>
      <c r="AE21" s="62"/>
    </row>
    <row r="22" spans="1:31" s="33" customFormat="1" ht="31.5" x14ac:dyDescent="0.25">
      <c r="A22" s="239">
        <v>10</v>
      </c>
      <c r="B22" s="189" t="s">
        <v>1375</v>
      </c>
      <c r="C22" s="176"/>
      <c r="D22" s="28"/>
      <c r="F22" s="28"/>
      <c r="G22" s="28"/>
      <c r="H22" s="28"/>
      <c r="I22" s="28"/>
      <c r="J22" s="28"/>
      <c r="K22" s="28"/>
      <c r="AE22" s="62"/>
    </row>
    <row r="23" spans="1:31" ht="20.100000000000001" customHeight="1" x14ac:dyDescent="0.3">
      <c r="A23" s="357" t="s">
        <v>1241</v>
      </c>
      <c r="B23" s="357"/>
      <c r="C23" s="358"/>
      <c r="E23" s="33"/>
    </row>
    <row r="24" spans="1:31" ht="20.100000000000001" customHeight="1" x14ac:dyDescent="0.3">
      <c r="A24" s="359" t="s">
        <v>1232</v>
      </c>
      <c r="B24" s="359"/>
      <c r="C24" s="360"/>
      <c r="E24" s="33"/>
    </row>
    <row r="25" spans="1:31" x14ac:dyDescent="0.3">
      <c r="A25" s="149">
        <v>11</v>
      </c>
      <c r="B25" s="70" t="s">
        <v>1234</v>
      </c>
      <c r="C25" s="175"/>
      <c r="E25" s="33"/>
    </row>
    <row r="26" spans="1:31" ht="20.25" thickBot="1" x14ac:dyDescent="0.35">
      <c r="A26" s="173">
        <v>12</v>
      </c>
      <c r="B26" s="214" t="s">
        <v>1235</v>
      </c>
      <c r="C26" s="177"/>
      <c r="E26" s="33"/>
    </row>
    <row r="27" spans="1:31" x14ac:dyDescent="0.3">
      <c r="A27" s="237"/>
      <c r="B27" s="237"/>
      <c r="E27" s="33"/>
    </row>
    <row r="28" spans="1:31" x14ac:dyDescent="0.3">
      <c r="E28" s="33"/>
    </row>
    <row r="29" spans="1:31" x14ac:dyDescent="0.3">
      <c r="A29" s="131"/>
      <c r="B29" s="170" t="s">
        <v>797</v>
      </c>
      <c r="C29" s="131"/>
      <c r="E29" s="33"/>
    </row>
    <row r="30" spans="1:31" ht="32.25" x14ac:dyDescent="0.3">
      <c r="B30" s="240" t="s">
        <v>1387</v>
      </c>
      <c r="E30" s="33"/>
    </row>
    <row r="31" spans="1:31" x14ac:dyDescent="0.3">
      <c r="E31" s="33"/>
    </row>
    <row r="32" spans="1:31" x14ac:dyDescent="0.3">
      <c r="E32" s="33"/>
    </row>
    <row r="33" spans="5:5" x14ac:dyDescent="0.3">
      <c r="E33" s="33"/>
    </row>
    <row r="34" spans="5:5" x14ac:dyDescent="0.3">
      <c r="E34" s="33"/>
    </row>
    <row r="35" spans="5:5" x14ac:dyDescent="0.3">
      <c r="E35" s="33"/>
    </row>
    <row r="36" spans="5:5" x14ac:dyDescent="0.3">
      <c r="E36" s="33"/>
    </row>
    <row r="37" spans="5:5" x14ac:dyDescent="0.3">
      <c r="E37" s="33"/>
    </row>
    <row r="38" spans="5:5" x14ac:dyDescent="0.3">
      <c r="E38" s="33"/>
    </row>
    <row r="39" spans="5:5" x14ac:dyDescent="0.3">
      <c r="E39" s="33"/>
    </row>
    <row r="40" spans="5:5" x14ac:dyDescent="0.3">
      <c r="E40" s="33"/>
    </row>
    <row r="41" spans="5:5" x14ac:dyDescent="0.3">
      <c r="E41" s="33"/>
    </row>
    <row r="42" spans="5:5" x14ac:dyDescent="0.3">
      <c r="E42" s="33"/>
    </row>
    <row r="43" spans="5:5" x14ac:dyDescent="0.3">
      <c r="E43" s="33"/>
    </row>
    <row r="44" spans="5:5" x14ac:dyDescent="0.3">
      <c r="E44" s="33"/>
    </row>
    <row r="45" spans="5:5" x14ac:dyDescent="0.3">
      <c r="E45" s="33"/>
    </row>
    <row r="46" spans="5:5" x14ac:dyDescent="0.3">
      <c r="E46" s="33"/>
    </row>
    <row r="47" spans="5:5" x14ac:dyDescent="0.3">
      <c r="E47" s="33"/>
    </row>
    <row r="48" spans="5:5" x14ac:dyDescent="0.3">
      <c r="E48" s="33"/>
    </row>
    <row r="49" spans="5:5" x14ac:dyDescent="0.3">
      <c r="E49" s="33"/>
    </row>
    <row r="50" spans="5:5" x14ac:dyDescent="0.3">
      <c r="E50" s="33"/>
    </row>
    <row r="51" spans="5:5" x14ac:dyDescent="0.3">
      <c r="E51" s="33"/>
    </row>
    <row r="52" spans="5:5" x14ac:dyDescent="0.3">
      <c r="E52" s="33"/>
    </row>
    <row r="53" spans="5:5" x14ac:dyDescent="0.3">
      <c r="E53" s="33"/>
    </row>
    <row r="54" spans="5:5" x14ac:dyDescent="0.3">
      <c r="E54" s="33"/>
    </row>
    <row r="55" spans="5:5" x14ac:dyDescent="0.3">
      <c r="E55" s="33"/>
    </row>
    <row r="56" spans="5:5" x14ac:dyDescent="0.3">
      <c r="E56" s="33"/>
    </row>
    <row r="57" spans="5:5" x14ac:dyDescent="0.3">
      <c r="E57" s="33"/>
    </row>
    <row r="58" spans="5:5" x14ac:dyDescent="0.3">
      <c r="E58" s="33"/>
    </row>
    <row r="59" spans="5:5" x14ac:dyDescent="0.3">
      <c r="E59" s="33"/>
    </row>
    <row r="60" spans="5:5" x14ac:dyDescent="0.3">
      <c r="E60" s="33"/>
    </row>
    <row r="61" spans="5:5" x14ac:dyDescent="0.3">
      <c r="E61" s="33"/>
    </row>
    <row r="62" spans="5:5" x14ac:dyDescent="0.3">
      <c r="E62" s="33"/>
    </row>
    <row r="63" spans="5:5" x14ac:dyDescent="0.3">
      <c r="E63" s="33"/>
    </row>
    <row r="64" spans="5:5" x14ac:dyDescent="0.3">
      <c r="E64" s="33"/>
    </row>
    <row r="65" spans="5:5" x14ac:dyDescent="0.3">
      <c r="E65" s="33"/>
    </row>
    <row r="66" spans="5:5" x14ac:dyDescent="0.3">
      <c r="E66" s="33"/>
    </row>
    <row r="67" spans="5:5" x14ac:dyDescent="0.3">
      <c r="E67" s="33"/>
    </row>
    <row r="68" spans="5:5" x14ac:dyDescent="0.3">
      <c r="E68" s="33"/>
    </row>
    <row r="69" spans="5:5" x14ac:dyDescent="0.3">
      <c r="E69" s="33"/>
    </row>
    <row r="70" spans="5:5" x14ac:dyDescent="0.3">
      <c r="E70" s="33"/>
    </row>
    <row r="71" spans="5:5" x14ac:dyDescent="0.3">
      <c r="E71" s="33"/>
    </row>
    <row r="72" spans="5:5" x14ac:dyDescent="0.3">
      <c r="E72" s="33"/>
    </row>
    <row r="73" spans="5:5" x14ac:dyDescent="0.3">
      <c r="E73" s="33"/>
    </row>
    <row r="74" spans="5:5" x14ac:dyDescent="0.3">
      <c r="E74" s="33"/>
    </row>
    <row r="75" spans="5:5" x14ac:dyDescent="0.3">
      <c r="E75" s="33"/>
    </row>
    <row r="76" spans="5:5" x14ac:dyDescent="0.3">
      <c r="E76" s="33"/>
    </row>
    <row r="77" spans="5:5" x14ac:dyDescent="0.3">
      <c r="E77" s="33"/>
    </row>
    <row r="78" spans="5:5" x14ac:dyDescent="0.3">
      <c r="E78" s="33"/>
    </row>
    <row r="79" spans="5:5" x14ac:dyDescent="0.3">
      <c r="E79" s="33"/>
    </row>
    <row r="80" spans="5:5" x14ac:dyDescent="0.3">
      <c r="E80" s="33"/>
    </row>
    <row r="81" spans="5:5" x14ac:dyDescent="0.3">
      <c r="E81" s="33"/>
    </row>
    <row r="82" spans="5:5" x14ac:dyDescent="0.3">
      <c r="E82" s="33"/>
    </row>
    <row r="83" spans="5:5" x14ac:dyDescent="0.3">
      <c r="E83" s="33"/>
    </row>
    <row r="84" spans="5:5" x14ac:dyDescent="0.3">
      <c r="E84" s="33"/>
    </row>
    <row r="85" spans="5:5" x14ac:dyDescent="0.3">
      <c r="E85" s="33"/>
    </row>
    <row r="86" spans="5:5" x14ac:dyDescent="0.3">
      <c r="E86" s="33"/>
    </row>
    <row r="87" spans="5:5" x14ac:dyDescent="0.3">
      <c r="E87" s="33"/>
    </row>
    <row r="88" spans="5:5" x14ac:dyDescent="0.3">
      <c r="E88" s="33"/>
    </row>
    <row r="89" spans="5:5" x14ac:dyDescent="0.3">
      <c r="E89" s="33"/>
    </row>
    <row r="90" spans="5:5" x14ac:dyDescent="0.3">
      <c r="E90" s="33"/>
    </row>
    <row r="91" spans="5:5" x14ac:dyDescent="0.3">
      <c r="E91" s="33"/>
    </row>
    <row r="92" spans="5:5" x14ac:dyDescent="0.3">
      <c r="E92" s="33"/>
    </row>
    <row r="93" spans="5:5" x14ac:dyDescent="0.3">
      <c r="E93" s="33"/>
    </row>
    <row r="94" spans="5:5" x14ac:dyDescent="0.3">
      <c r="E94" s="33"/>
    </row>
    <row r="95" spans="5:5" x14ac:dyDescent="0.3">
      <c r="E95" s="33"/>
    </row>
    <row r="96" spans="5:5" x14ac:dyDescent="0.3">
      <c r="E96" s="33"/>
    </row>
    <row r="97" spans="5:5" x14ac:dyDescent="0.3">
      <c r="E97" s="33"/>
    </row>
    <row r="98" spans="5:5" x14ac:dyDescent="0.3">
      <c r="E98" s="33"/>
    </row>
    <row r="99" spans="5:5" x14ac:dyDescent="0.3">
      <c r="E99" s="33"/>
    </row>
    <row r="100" spans="5:5" x14ac:dyDescent="0.3">
      <c r="E100" s="33"/>
    </row>
    <row r="101" spans="5:5" x14ac:dyDescent="0.3">
      <c r="E101" s="33"/>
    </row>
    <row r="102" spans="5:5" x14ac:dyDescent="0.3">
      <c r="E102" s="33"/>
    </row>
    <row r="103" spans="5:5" x14ac:dyDescent="0.3">
      <c r="E103" s="33"/>
    </row>
    <row r="104" spans="5:5" x14ac:dyDescent="0.3">
      <c r="E104" s="33"/>
    </row>
    <row r="105" spans="5:5" x14ac:dyDescent="0.3">
      <c r="E105" s="33"/>
    </row>
    <row r="106" spans="5:5" x14ac:dyDescent="0.3">
      <c r="E106" s="33"/>
    </row>
    <row r="107" spans="5:5" x14ac:dyDescent="0.3">
      <c r="E107" s="33"/>
    </row>
    <row r="108" spans="5:5" x14ac:dyDescent="0.3">
      <c r="E108" s="33"/>
    </row>
    <row r="109" spans="5:5" x14ac:dyDescent="0.3">
      <c r="E109" s="33"/>
    </row>
    <row r="110" spans="5:5" x14ac:dyDescent="0.3">
      <c r="E110" s="33"/>
    </row>
    <row r="111" spans="5:5" x14ac:dyDescent="0.3">
      <c r="E111" s="33"/>
    </row>
    <row r="112" spans="5:5" x14ac:dyDescent="0.3">
      <c r="E112" s="33"/>
    </row>
    <row r="113" spans="5:5" x14ac:dyDescent="0.3">
      <c r="E113" s="33"/>
    </row>
    <row r="114" spans="5:5" x14ac:dyDescent="0.3">
      <c r="E114" s="33"/>
    </row>
    <row r="115" spans="5:5" x14ac:dyDescent="0.3">
      <c r="E115" s="33"/>
    </row>
    <row r="116" spans="5:5" x14ac:dyDescent="0.3">
      <c r="E116" s="33"/>
    </row>
    <row r="117" spans="5:5" x14ac:dyDescent="0.3">
      <c r="E117" s="33"/>
    </row>
    <row r="118" spans="5:5" x14ac:dyDescent="0.3">
      <c r="E118" s="33"/>
    </row>
    <row r="119" spans="5:5" x14ac:dyDescent="0.3">
      <c r="E119" s="33"/>
    </row>
    <row r="120" spans="5:5" x14ac:dyDescent="0.3">
      <c r="E120" s="33"/>
    </row>
    <row r="121" spans="5:5" x14ac:dyDescent="0.3">
      <c r="E121" s="33"/>
    </row>
    <row r="122" spans="5:5" x14ac:dyDescent="0.3">
      <c r="E122" s="33"/>
    </row>
    <row r="123" spans="5:5" x14ac:dyDescent="0.3">
      <c r="E123" s="33"/>
    </row>
    <row r="124" spans="5:5" x14ac:dyDescent="0.3">
      <c r="E124" s="33"/>
    </row>
    <row r="125" spans="5:5" x14ac:dyDescent="0.3">
      <c r="E125" s="33"/>
    </row>
    <row r="126" spans="5:5" x14ac:dyDescent="0.3">
      <c r="E126" s="33"/>
    </row>
    <row r="127" spans="5:5" x14ac:dyDescent="0.3">
      <c r="E127" s="33"/>
    </row>
    <row r="128" spans="5:5" x14ac:dyDescent="0.3">
      <c r="E128" s="33"/>
    </row>
    <row r="129" spans="5:5" x14ac:dyDescent="0.3">
      <c r="E129" s="33"/>
    </row>
    <row r="130" spans="5:5" x14ac:dyDescent="0.3">
      <c r="E130" s="33"/>
    </row>
    <row r="131" spans="5:5" x14ac:dyDescent="0.3">
      <c r="E131" s="33"/>
    </row>
    <row r="132" spans="5:5" x14ac:dyDescent="0.3">
      <c r="E132" s="33"/>
    </row>
    <row r="133" spans="5:5" x14ac:dyDescent="0.3">
      <c r="E133" s="33"/>
    </row>
    <row r="134" spans="5:5" x14ac:dyDescent="0.3">
      <c r="E134" s="33"/>
    </row>
    <row r="135" spans="5:5" x14ac:dyDescent="0.3">
      <c r="E135" s="33"/>
    </row>
    <row r="136" spans="5:5" x14ac:dyDescent="0.3">
      <c r="E136" s="33"/>
    </row>
    <row r="137" spans="5:5" x14ac:dyDescent="0.3">
      <c r="E137" s="33"/>
    </row>
    <row r="138" spans="5:5" x14ac:dyDescent="0.3">
      <c r="E138" s="33"/>
    </row>
    <row r="139" spans="5:5" x14ac:dyDescent="0.3">
      <c r="E139" s="33"/>
    </row>
    <row r="140" spans="5:5" x14ac:dyDescent="0.3">
      <c r="E140" s="33"/>
    </row>
    <row r="141" spans="5:5" x14ac:dyDescent="0.3">
      <c r="E141" s="33"/>
    </row>
    <row r="142" spans="5:5" x14ac:dyDescent="0.3">
      <c r="E142" s="33"/>
    </row>
    <row r="143" spans="5:5" x14ac:dyDescent="0.3">
      <c r="E143" s="33"/>
    </row>
    <row r="144" spans="5:5" x14ac:dyDescent="0.3">
      <c r="E144" s="33"/>
    </row>
    <row r="145" spans="5:5" x14ac:dyDescent="0.3">
      <c r="E145" s="33"/>
    </row>
    <row r="146" spans="5:5" x14ac:dyDescent="0.3">
      <c r="E146" s="33"/>
    </row>
    <row r="147" spans="5:5" x14ac:dyDescent="0.3">
      <c r="E147" s="33"/>
    </row>
    <row r="148" spans="5:5" x14ac:dyDescent="0.3">
      <c r="E148" s="33"/>
    </row>
    <row r="149" spans="5:5" x14ac:dyDescent="0.3">
      <c r="E149" s="33"/>
    </row>
    <row r="150" spans="5:5" x14ac:dyDescent="0.3">
      <c r="E150" s="33"/>
    </row>
    <row r="151" spans="5:5" x14ac:dyDescent="0.3">
      <c r="E151" s="33"/>
    </row>
    <row r="152" spans="5:5" x14ac:dyDescent="0.3">
      <c r="E152" s="33"/>
    </row>
    <row r="153" spans="5:5" x14ac:dyDescent="0.3">
      <c r="E153" s="33"/>
    </row>
    <row r="154" spans="5:5" x14ac:dyDescent="0.3">
      <c r="E154" s="33"/>
    </row>
    <row r="155" spans="5:5" x14ac:dyDescent="0.3">
      <c r="E155" s="33"/>
    </row>
    <row r="156" spans="5:5" x14ac:dyDescent="0.3">
      <c r="E156" s="33"/>
    </row>
    <row r="157" spans="5:5" x14ac:dyDescent="0.3">
      <c r="E157" s="33"/>
    </row>
    <row r="158" spans="5:5" x14ac:dyDescent="0.3">
      <c r="E158" s="33"/>
    </row>
    <row r="159" spans="5:5" x14ac:dyDescent="0.3">
      <c r="E159" s="33"/>
    </row>
    <row r="160" spans="5:5" x14ac:dyDescent="0.3">
      <c r="E160" s="33"/>
    </row>
    <row r="161" spans="5:5" x14ac:dyDescent="0.3">
      <c r="E161" s="33"/>
    </row>
    <row r="162" spans="5:5" x14ac:dyDescent="0.3">
      <c r="E162" s="33"/>
    </row>
    <row r="163" spans="5:5" x14ac:dyDescent="0.3">
      <c r="E163" s="33"/>
    </row>
    <row r="164" spans="5:5" x14ac:dyDescent="0.3">
      <c r="E164" s="33"/>
    </row>
    <row r="165" spans="5:5" x14ac:dyDescent="0.3">
      <c r="E165" s="33"/>
    </row>
    <row r="166" spans="5:5" x14ac:dyDescent="0.3">
      <c r="E166" s="33"/>
    </row>
    <row r="167" spans="5:5" x14ac:dyDescent="0.3">
      <c r="E167" s="33"/>
    </row>
    <row r="168" spans="5:5" x14ac:dyDescent="0.3">
      <c r="E168" s="33"/>
    </row>
    <row r="169" spans="5:5" x14ac:dyDescent="0.3">
      <c r="E169" s="33"/>
    </row>
    <row r="170" spans="5:5" x14ac:dyDescent="0.3">
      <c r="E170" s="33"/>
    </row>
    <row r="171" spans="5:5" x14ac:dyDescent="0.3">
      <c r="E171" s="33"/>
    </row>
    <row r="172" spans="5:5" x14ac:dyDescent="0.3">
      <c r="E172" s="33"/>
    </row>
    <row r="173" spans="5:5" x14ac:dyDescent="0.3">
      <c r="E173" s="33"/>
    </row>
    <row r="174" spans="5:5" x14ac:dyDescent="0.3">
      <c r="E174" s="33"/>
    </row>
    <row r="175" spans="5:5" x14ac:dyDescent="0.3">
      <c r="E175" s="33"/>
    </row>
    <row r="176" spans="5:5" x14ac:dyDescent="0.3">
      <c r="E176" s="33"/>
    </row>
    <row r="177" spans="5:5" x14ac:dyDescent="0.3">
      <c r="E177" s="33"/>
    </row>
    <row r="178" spans="5:5" x14ac:dyDescent="0.3">
      <c r="E178" s="33"/>
    </row>
    <row r="179" spans="5:5" x14ac:dyDescent="0.3">
      <c r="E179" s="33"/>
    </row>
    <row r="180" spans="5:5" x14ac:dyDescent="0.3">
      <c r="E180" s="33"/>
    </row>
    <row r="181" spans="5:5" x14ac:dyDescent="0.3">
      <c r="E181" s="33"/>
    </row>
    <row r="182" spans="5:5" x14ac:dyDescent="0.3">
      <c r="E182" s="33"/>
    </row>
    <row r="183" spans="5:5" x14ac:dyDescent="0.3">
      <c r="E183" s="33"/>
    </row>
    <row r="184" spans="5:5" x14ac:dyDescent="0.3">
      <c r="E184" s="33"/>
    </row>
    <row r="185" spans="5:5" x14ac:dyDescent="0.3">
      <c r="E185" s="33"/>
    </row>
  </sheetData>
  <sheetProtection algorithmName="SHA-512" hashValue="88nwEfrcHRl5qSdDXmLxrlpghpW58/Izga8M+rqkxFcU3Qprmv7lQRPiXZ5sAt/nh5HqobVBJoA72OjLJ0BJ4Q==" saltValue="fE9E86RRCQSIbqcxXjIehg==" spinCount="100000" sheet="1" objects="1" scenarios="1"/>
  <mergeCells count="6">
    <mergeCell ref="A23:C23"/>
    <mergeCell ref="A24:C24"/>
    <mergeCell ref="A11:C11"/>
    <mergeCell ref="A12:C12"/>
    <mergeCell ref="A6:C6"/>
    <mergeCell ref="A7:C7"/>
  </mergeCells>
  <dataValidations count="1">
    <dataValidation type="list" allowBlank="1" showInputMessage="1" showErrorMessage="1" sqref="C31:C222 D33:E185 C13:C22 D9 C25:C26" xr:uid="{347FBEA4-F8A1-DF48-9B43-CF2C2B3C5125}">
      <formula1>"0,1,2,3"</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B76EE-EB0E-2145-B0C1-8E5AED062DA3}">
  <sheetPr>
    <tabColor theme="5"/>
  </sheetPr>
  <dimension ref="A1:AE37"/>
  <sheetViews>
    <sheetView workbookViewId="0">
      <selection activeCell="C11" sqref="C11"/>
    </sheetView>
  </sheetViews>
  <sheetFormatPr defaultColWidth="10.875" defaultRowHeight="19.5" x14ac:dyDescent="0.3"/>
  <cols>
    <col min="1" max="1" width="8.375" style="28" customWidth="1"/>
    <col min="2" max="2" width="110" style="28" customWidth="1"/>
    <col min="3" max="3" width="12.5" style="28" customWidth="1"/>
    <col min="4" max="5" width="10.875" style="28"/>
    <col min="6" max="6" width="54.125" style="28" customWidth="1"/>
    <col min="7" max="8" width="12.5" style="28" customWidth="1"/>
    <col min="9" max="9" width="31" style="28" bestFit="1" customWidth="1"/>
    <col min="10" max="10" width="27.125" style="28" bestFit="1" customWidth="1"/>
    <col min="11" max="11" width="21.5"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172" t="s">
        <v>742</v>
      </c>
      <c r="F3" s="130"/>
      <c r="G3" s="130"/>
      <c r="H3" s="130"/>
      <c r="I3" s="130"/>
      <c r="J3" s="130"/>
      <c r="AE3" s="61"/>
    </row>
    <row r="5" spans="1:31" x14ac:dyDescent="0.3">
      <c r="A5" s="131" t="s">
        <v>818</v>
      </c>
      <c r="B5" s="132"/>
      <c r="C5" s="132"/>
    </row>
    <row r="6" spans="1:31" s="133" customFormat="1" x14ac:dyDescent="0.25">
      <c r="A6" s="345" t="s">
        <v>665</v>
      </c>
      <c r="B6" s="346"/>
      <c r="C6" s="347"/>
      <c r="AE6" s="134"/>
    </row>
    <row r="7" spans="1:31" s="133" customFormat="1" x14ac:dyDescent="0.25">
      <c r="A7" s="342" t="s">
        <v>743</v>
      </c>
      <c r="B7" s="343"/>
      <c r="C7" s="344"/>
      <c r="AE7" s="134"/>
    </row>
    <row r="8" spans="1:31" ht="20.25" thickBot="1" x14ac:dyDescent="0.35"/>
    <row r="9" spans="1:31" x14ac:dyDescent="0.3">
      <c r="A9" s="138"/>
      <c r="B9" s="139"/>
      <c r="C9" s="140"/>
      <c r="F9" s="139" t="s">
        <v>132</v>
      </c>
      <c r="G9" s="141"/>
      <c r="H9" s="142" t="s">
        <v>748</v>
      </c>
      <c r="I9" s="143"/>
      <c r="J9" s="139"/>
      <c r="K9" s="139"/>
    </row>
    <row r="10" spans="1:31" ht="75" x14ac:dyDescent="0.3">
      <c r="A10" s="144" t="s">
        <v>1</v>
      </c>
      <c r="B10" s="144" t="s">
        <v>2</v>
      </c>
      <c r="C10" s="145" t="s">
        <v>822</v>
      </c>
      <c r="F10" s="146" t="s">
        <v>138</v>
      </c>
      <c r="G10" s="147" t="s">
        <v>134</v>
      </c>
      <c r="H10" s="147" t="s">
        <v>135</v>
      </c>
      <c r="I10" s="148" t="s">
        <v>317</v>
      </c>
      <c r="J10" s="146" t="s">
        <v>136</v>
      </c>
      <c r="K10" s="146" t="s">
        <v>1448</v>
      </c>
    </row>
    <row r="11" spans="1:31" s="33" customFormat="1" x14ac:dyDescent="0.25">
      <c r="A11" s="149">
        <v>1</v>
      </c>
      <c r="B11" s="33" t="s">
        <v>749</v>
      </c>
      <c r="C11" s="175"/>
      <c r="F11" s="8" t="s">
        <v>279</v>
      </c>
      <c r="G11" s="230" t="str" cm="1">
        <f t="array" ref="G11">IF(COUNTA(C$11:C$230)&gt;0,SUM(SUMIF(A$11:A$230,{1,2,3,4,5,6,7,8,9,10},C$11:C$230)),"")</f>
        <v/>
      </c>
      <c r="H11" s="181" t="s">
        <v>740</v>
      </c>
      <c r="I11" s="182" t="str" cm="1">
        <f t="array" ref="I11">_xlfn.IFS(G11="","",G11&lt;=7,"Low Risk",AND(8&lt;=G11,G11&lt;=15),"Moderate Risk",AND(16&lt;=G11,G11&lt;=19),"High Risk or Harmful Level",G11&gt;=20,"Very High Risk or Dependence Likely")</f>
        <v/>
      </c>
      <c r="J11" s="183" t="s">
        <v>795</v>
      </c>
      <c r="K11" s="183" t="s">
        <v>1455</v>
      </c>
      <c r="AE11" s="62"/>
    </row>
    <row r="12" spans="1:31" s="33" customFormat="1" x14ac:dyDescent="0.25">
      <c r="A12" s="155">
        <v>2</v>
      </c>
      <c r="B12" s="156" t="s">
        <v>750</v>
      </c>
      <c r="C12" s="176"/>
      <c r="AE12" s="62"/>
    </row>
    <row r="13" spans="1:31" s="33" customFormat="1" x14ac:dyDescent="0.25">
      <c r="A13" s="149">
        <v>3</v>
      </c>
      <c r="B13" s="33" t="s">
        <v>751</v>
      </c>
      <c r="C13" s="175"/>
      <c r="F13" s="28"/>
      <c r="G13" s="28"/>
      <c r="H13" s="28"/>
      <c r="I13" s="28"/>
      <c r="J13" s="28"/>
      <c r="K13" s="28"/>
      <c r="AE13" s="62"/>
    </row>
    <row r="14" spans="1:31" s="33" customFormat="1" ht="21" x14ac:dyDescent="0.35">
      <c r="A14" s="155">
        <v>4</v>
      </c>
      <c r="B14" s="156" t="s">
        <v>752</v>
      </c>
      <c r="C14" s="176"/>
      <c r="F14" s="166" t="s">
        <v>237</v>
      </c>
      <c r="G14" s="132"/>
      <c r="H14" s="132"/>
      <c r="I14" s="132"/>
      <c r="J14" s="132"/>
      <c r="K14" s="132"/>
      <c r="AE14" s="62"/>
    </row>
    <row r="15" spans="1:31" s="33" customFormat="1" x14ac:dyDescent="0.25">
      <c r="A15" s="149">
        <v>5</v>
      </c>
      <c r="B15" s="33" t="s">
        <v>753</v>
      </c>
      <c r="C15" s="175"/>
      <c r="F15" s="184" t="s">
        <v>783</v>
      </c>
      <c r="G15" s="28"/>
      <c r="H15" s="28"/>
      <c r="I15" s="28"/>
      <c r="J15" s="28"/>
      <c r="K15" s="28"/>
      <c r="AE15" s="62"/>
    </row>
    <row r="16" spans="1:31" s="33" customFormat="1" x14ac:dyDescent="0.25">
      <c r="A16" s="155">
        <v>6</v>
      </c>
      <c r="B16" s="156" t="s">
        <v>754</v>
      </c>
      <c r="C16" s="176"/>
      <c r="F16" s="184"/>
      <c r="G16" s="28"/>
      <c r="H16" s="28"/>
      <c r="I16" s="28"/>
      <c r="J16" s="28"/>
      <c r="K16" s="28"/>
      <c r="AE16" s="62"/>
    </row>
    <row r="17" spans="1:31" s="33" customFormat="1" x14ac:dyDescent="0.25">
      <c r="A17" s="149">
        <v>7</v>
      </c>
      <c r="B17" s="33" t="s">
        <v>755</v>
      </c>
      <c r="C17" s="175"/>
      <c r="F17" s="188" t="s">
        <v>150</v>
      </c>
      <c r="G17" s="28"/>
      <c r="H17" s="28"/>
      <c r="I17" s="28"/>
      <c r="J17" s="28"/>
      <c r="K17" s="28"/>
      <c r="AE17" s="62"/>
    </row>
    <row r="18" spans="1:31" s="33" customFormat="1" x14ac:dyDescent="0.25">
      <c r="A18" s="155">
        <v>8</v>
      </c>
      <c r="B18" s="156" t="s">
        <v>756</v>
      </c>
      <c r="C18" s="176"/>
      <c r="F18" s="185" t="s">
        <v>745</v>
      </c>
      <c r="G18" s="28"/>
      <c r="H18" s="28"/>
      <c r="I18" s="28"/>
      <c r="J18" s="28"/>
      <c r="K18" s="28"/>
      <c r="AE18" s="62"/>
    </row>
    <row r="19" spans="1:31" s="33" customFormat="1" x14ac:dyDescent="0.25">
      <c r="A19" s="149">
        <v>9</v>
      </c>
      <c r="B19" s="33" t="s">
        <v>757</v>
      </c>
      <c r="C19" s="175"/>
      <c r="F19" s="185" t="s">
        <v>746</v>
      </c>
      <c r="G19" s="28"/>
      <c r="H19" s="28"/>
      <c r="I19" s="28"/>
      <c r="J19" s="28"/>
      <c r="K19" s="28"/>
      <c r="AE19" s="62"/>
    </row>
    <row r="20" spans="1:31" s="33" customFormat="1" ht="20.25" thickBot="1" x14ac:dyDescent="0.3">
      <c r="A20" s="173">
        <v>10</v>
      </c>
      <c r="B20" s="174" t="s">
        <v>758</v>
      </c>
      <c r="C20" s="177"/>
      <c r="F20" s="185" t="s">
        <v>744</v>
      </c>
      <c r="G20" s="28"/>
      <c r="H20" s="28"/>
      <c r="I20" s="28"/>
      <c r="J20" s="28"/>
      <c r="K20" s="28"/>
      <c r="AE20" s="62"/>
    </row>
    <row r="21" spans="1:31" s="33" customFormat="1" x14ac:dyDescent="0.25">
      <c r="A21" s="28"/>
      <c r="B21" s="28"/>
      <c r="C21" s="28"/>
      <c r="F21" s="185" t="s">
        <v>747</v>
      </c>
      <c r="G21" s="28"/>
      <c r="H21" s="28"/>
      <c r="I21" s="28"/>
      <c r="J21" s="28"/>
      <c r="K21" s="28"/>
      <c r="AE21" s="62"/>
    </row>
    <row r="22" spans="1:31" s="33" customFormat="1" x14ac:dyDescent="0.25">
      <c r="A22" s="28"/>
      <c r="B22" s="28"/>
      <c r="C22" s="28"/>
      <c r="F22" s="185"/>
      <c r="G22" s="28"/>
      <c r="H22" s="28"/>
      <c r="I22" s="28"/>
      <c r="J22" s="28"/>
      <c r="K22" s="28"/>
      <c r="AE22" s="62"/>
    </row>
    <row r="23" spans="1:31" s="33" customFormat="1" x14ac:dyDescent="0.3">
      <c r="A23" s="131"/>
      <c r="B23" s="170" t="s">
        <v>797</v>
      </c>
      <c r="C23" s="131"/>
      <c r="AE23" s="62"/>
    </row>
    <row r="24" spans="1:31" s="33" customFormat="1" ht="31.5" x14ac:dyDescent="0.25">
      <c r="A24" s="28"/>
      <c r="B24" s="241" t="s">
        <v>834</v>
      </c>
      <c r="C24" s="28"/>
      <c r="F24" s="28"/>
      <c r="G24" s="28"/>
      <c r="H24" s="28"/>
      <c r="I24" s="28"/>
      <c r="J24" s="28"/>
      <c r="K24" s="28"/>
      <c r="AE24" s="62"/>
    </row>
    <row r="25" spans="1:31" s="33" customFormat="1" x14ac:dyDescent="0.25">
      <c r="A25" s="28"/>
      <c r="B25" s="28"/>
      <c r="C25" s="28"/>
      <c r="F25" s="28"/>
      <c r="G25" s="28"/>
      <c r="H25" s="28"/>
      <c r="I25" s="28"/>
      <c r="J25" s="28"/>
      <c r="K25" s="28"/>
      <c r="AE25" s="62"/>
    </row>
    <row r="26" spans="1:31" s="33" customFormat="1" x14ac:dyDescent="0.25">
      <c r="A26" s="28"/>
      <c r="B26" s="28"/>
      <c r="C26" s="28"/>
      <c r="F26" s="28"/>
      <c r="G26" s="28"/>
      <c r="H26" s="28"/>
      <c r="I26" s="28"/>
      <c r="J26" s="28"/>
      <c r="K26" s="28"/>
      <c r="AE26" s="62"/>
    </row>
    <row r="27" spans="1:31" s="33" customFormat="1" x14ac:dyDescent="0.25">
      <c r="A27" s="28"/>
      <c r="B27" s="28"/>
      <c r="C27" s="28"/>
      <c r="F27" s="28"/>
      <c r="G27" s="28"/>
      <c r="H27" s="28"/>
      <c r="I27" s="28"/>
      <c r="J27" s="28"/>
      <c r="K27" s="28"/>
      <c r="AE27" s="62"/>
    </row>
    <row r="28" spans="1:31" ht="21" x14ac:dyDescent="0.35">
      <c r="F28" s="168"/>
    </row>
    <row r="29" spans="1:31" x14ac:dyDescent="0.3">
      <c r="F29" s="184"/>
    </row>
    <row r="30" spans="1:31" x14ac:dyDescent="0.3">
      <c r="F30" s="184"/>
    </row>
    <row r="31" spans="1:31" x14ac:dyDescent="0.3">
      <c r="F31" s="188"/>
    </row>
    <row r="32" spans="1:31" x14ac:dyDescent="0.3">
      <c r="F32" s="185"/>
    </row>
    <row r="33" spans="6:6" x14ac:dyDescent="0.3">
      <c r="F33" s="185"/>
    </row>
    <row r="34" spans="6:6" x14ac:dyDescent="0.3">
      <c r="F34" s="185"/>
    </row>
    <row r="35" spans="6:6" x14ac:dyDescent="0.3">
      <c r="F35" s="185"/>
    </row>
    <row r="37" spans="6:6" x14ac:dyDescent="0.3">
      <c r="F37" s="187"/>
    </row>
  </sheetData>
  <mergeCells count="2">
    <mergeCell ref="A6:C6"/>
    <mergeCell ref="A7:C7"/>
  </mergeCells>
  <phoneticPr fontId="16" type="noConversion"/>
  <dataValidations count="1">
    <dataValidation type="list" allowBlank="1" showInputMessage="1" showErrorMessage="1" sqref="C11:C20" xr:uid="{A84BF9A0-BC77-9A4B-9377-8A669A96E56C}">
      <formula1>"0,1,2,3,4"</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6981A-AEC8-A648-914B-33CA00F6BB14}">
  <sheetPr>
    <tabColor theme="6" tint="-0.249977111117893"/>
  </sheetPr>
  <dimension ref="A1:AE45"/>
  <sheetViews>
    <sheetView workbookViewId="0">
      <selection activeCell="C11" sqref="C11"/>
    </sheetView>
  </sheetViews>
  <sheetFormatPr defaultColWidth="10.875" defaultRowHeight="19.5" x14ac:dyDescent="0.3"/>
  <cols>
    <col min="1" max="1" width="8.375" style="28" customWidth="1"/>
    <col min="2" max="2" width="106" style="28" customWidth="1"/>
    <col min="3" max="3" width="12.5" style="28" customWidth="1"/>
    <col min="4" max="5" width="10.875" style="28"/>
    <col min="6" max="6" width="54.125" style="28" customWidth="1"/>
    <col min="7" max="9" width="12.5" style="28" customWidth="1"/>
    <col min="10" max="10" width="92.625" style="28" bestFit="1" customWidth="1"/>
    <col min="11" max="11" width="164.5"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F2" s="242"/>
      <c r="AE2" s="58"/>
    </row>
    <row r="3" spans="1:31" s="130" customFormat="1" ht="31.5" x14ac:dyDescent="0.5">
      <c r="A3" s="60" t="s">
        <v>0</v>
      </c>
      <c r="AE3" s="243"/>
    </row>
    <row r="4" spans="1:31" x14ac:dyDescent="0.3">
      <c r="A4" s="244"/>
      <c r="B4" s="245"/>
      <c r="C4" s="245"/>
    </row>
    <row r="5" spans="1:31" x14ac:dyDescent="0.3">
      <c r="A5" s="36" t="s">
        <v>818</v>
      </c>
      <c r="B5" s="246"/>
      <c r="C5" s="246"/>
      <c r="F5" s="247"/>
      <c r="G5" s="248"/>
      <c r="H5" s="248"/>
      <c r="I5" s="248"/>
    </row>
    <row r="6" spans="1:31" s="133" customFormat="1" ht="35.1" customHeight="1" x14ac:dyDescent="0.25">
      <c r="A6" s="339" t="s">
        <v>251</v>
      </c>
      <c r="B6" s="340"/>
      <c r="C6" s="341"/>
      <c r="AE6" s="134"/>
    </row>
    <row r="7" spans="1:31" s="133" customFormat="1" x14ac:dyDescent="0.25">
      <c r="A7" s="342" t="s">
        <v>255</v>
      </c>
      <c r="B7" s="343"/>
      <c r="C7" s="344"/>
      <c r="AE7" s="134"/>
    </row>
    <row r="8" spans="1:31" ht="20.25" thickBot="1" x14ac:dyDescent="0.35"/>
    <row r="9" spans="1:31" x14ac:dyDescent="0.3">
      <c r="A9" s="138"/>
      <c r="B9" s="139"/>
      <c r="C9" s="140"/>
      <c r="F9" s="139" t="s">
        <v>132</v>
      </c>
      <c r="G9" s="141"/>
      <c r="H9" s="142" t="s">
        <v>122</v>
      </c>
      <c r="I9" s="143"/>
      <c r="J9" s="139"/>
      <c r="K9" s="139"/>
    </row>
    <row r="10" spans="1:31" s="186" customFormat="1" ht="75" x14ac:dyDescent="0.3">
      <c r="A10" s="249" t="s">
        <v>1</v>
      </c>
      <c r="B10" s="249" t="s">
        <v>2</v>
      </c>
      <c r="C10" s="250" t="s">
        <v>819</v>
      </c>
      <c r="F10" s="251" t="s">
        <v>133</v>
      </c>
      <c r="G10" s="148" t="s">
        <v>134</v>
      </c>
      <c r="H10" s="148" t="s">
        <v>135</v>
      </c>
      <c r="I10" s="148" t="s">
        <v>317</v>
      </c>
      <c r="J10" s="251" t="s">
        <v>136</v>
      </c>
      <c r="K10" s="251" t="s">
        <v>1448</v>
      </c>
      <c r="AE10" s="252"/>
    </row>
    <row r="11" spans="1:31" s="33" customFormat="1" x14ac:dyDescent="0.25">
      <c r="A11" s="149">
        <v>1</v>
      </c>
      <c r="B11" s="33" t="s">
        <v>3</v>
      </c>
      <c r="C11" s="175"/>
      <c r="F11" s="150" t="s">
        <v>226</v>
      </c>
      <c r="G11" s="151" t="str" cm="1">
        <f t="array" ref="G11">IF(COUNTA(C$11:C$230)&gt;0,SUM(SUMIF(A$11:A$230,{2,8,14,20},C$11:C$230)),"")</f>
        <v/>
      </c>
      <c r="H11" s="152" t="str">
        <f ca="1">IF(G11="","",(G11-VLOOKUP(F11,INDIRECT($H$9),2, FALSE))/VLOOKUP(F11,INDIRECT($H$9),3, FALSE))</f>
        <v/>
      </c>
      <c r="I11" s="198" t="str" cm="1">
        <f t="array" aca="1" ref="I11" ca="1">_xlfn.IFS(H11="","",H11&lt;-1,"Low",AND(-1&lt;H11, H11&lt;1),"Average",H11&gt;1, "High")</f>
        <v/>
      </c>
      <c r="J11" s="154" t="s">
        <v>139</v>
      </c>
      <c r="K11" s="154" t="s">
        <v>1472</v>
      </c>
      <c r="AE11" s="62"/>
    </row>
    <row r="12" spans="1:31" s="33" customFormat="1" x14ac:dyDescent="0.25">
      <c r="A12" s="155">
        <v>2</v>
      </c>
      <c r="B12" s="156" t="s">
        <v>4</v>
      </c>
      <c r="C12" s="176"/>
      <c r="F12" s="157" t="s">
        <v>227</v>
      </c>
      <c r="G12" s="158" t="str" cm="1">
        <f t="array" ref="G12">IF(COUNTA(C$11:C$230)&gt;0,SUM(SUMIF(A$11:A$230,{5,11,17,23},C$11:C$230)),"")</f>
        <v/>
      </c>
      <c r="H12" s="159" t="str">
        <f t="shared" ref="H12:H22" ca="1" si="0">IF(G12="","",(G12-VLOOKUP(F12,INDIRECT($H$9),2, FALSE))/VLOOKUP(F12,INDIRECT($H$9),3, FALSE))</f>
        <v/>
      </c>
      <c r="I12" s="190" t="str" cm="1">
        <f t="array" aca="1" ref="I12" ca="1">_xlfn.IFS(H12="","",H12&lt;-1,"Low",AND(-1&lt;H12, H12&lt;1),"Average",H12&gt;1, "High")</f>
        <v/>
      </c>
      <c r="J12" s="161" t="s">
        <v>140</v>
      </c>
      <c r="K12" s="161" t="s">
        <v>1473</v>
      </c>
      <c r="AE12" s="62"/>
    </row>
    <row r="13" spans="1:31" s="33" customFormat="1" x14ac:dyDescent="0.25">
      <c r="A13" s="149">
        <v>3</v>
      </c>
      <c r="B13" s="33" t="s">
        <v>5</v>
      </c>
      <c r="C13" s="175"/>
      <c r="F13" s="157" t="s">
        <v>228</v>
      </c>
      <c r="G13" s="158" t="str" cm="1">
        <f t="array" ref="G13">IF(COUNTA(C$11:C$230)&gt;0,SUM(SUMIF(A$11:A$230,{1,7,13,19},C$11:C$230)),"")</f>
        <v/>
      </c>
      <c r="H13" s="159" t="str">
        <f t="shared" ca="1" si="0"/>
        <v/>
      </c>
      <c r="I13" s="190" t="str" cm="1">
        <f t="array" aca="1" ref="I13" ca="1">_xlfn.IFS(H13="","",H13&lt;-1,"Low",AND(-1&lt;H13, H13&lt;1),"Average",H13&gt;1, "High")</f>
        <v/>
      </c>
      <c r="J13" s="161" t="s">
        <v>141</v>
      </c>
      <c r="K13" s="161" t="s">
        <v>1474</v>
      </c>
      <c r="AE13" s="62"/>
    </row>
    <row r="14" spans="1:31" s="33" customFormat="1" x14ac:dyDescent="0.25">
      <c r="A14" s="155">
        <v>4</v>
      </c>
      <c r="B14" s="156" t="s">
        <v>6</v>
      </c>
      <c r="C14" s="176"/>
      <c r="F14" s="157" t="s">
        <v>229</v>
      </c>
      <c r="G14" s="158" t="str" cm="1">
        <f t="array" ref="G14">IF(COUNTA(C$11:C$230)&gt;0,SUM(SUMIF(A$11:A$230,{4,10,16,22},C$11:C$230)),"")</f>
        <v/>
      </c>
      <c r="H14" s="159" t="str">
        <f t="shared" ca="1" si="0"/>
        <v/>
      </c>
      <c r="I14" s="190" t="str" cm="1">
        <f t="array" aca="1" ref="I14" ca="1">_xlfn.IFS(H14="","",H14&lt;-1,"Low",AND(-1&lt;H14, H14&lt;1),"Average",H14&gt;1, "High")</f>
        <v/>
      </c>
      <c r="J14" s="161" t="s">
        <v>142</v>
      </c>
      <c r="K14" s="161" t="s">
        <v>1475</v>
      </c>
      <c r="AE14" s="62"/>
    </row>
    <row r="15" spans="1:31" s="33" customFormat="1" x14ac:dyDescent="0.25">
      <c r="A15" s="149">
        <v>5</v>
      </c>
      <c r="B15" s="33" t="s">
        <v>7</v>
      </c>
      <c r="C15" s="175"/>
      <c r="F15" s="157" t="s">
        <v>230</v>
      </c>
      <c r="G15" s="158" t="str" cm="1">
        <f t="array" ref="G15">IF(COUNTA(C$11:C$230)&gt;0,SUM(SUMIF(A$11:A$230,{3,6,9,12,15,18,21,24},C$11:C$230)),"")</f>
        <v/>
      </c>
      <c r="H15" s="159" t="str">
        <f t="shared" ca="1" si="0"/>
        <v/>
      </c>
      <c r="I15" s="190" t="str" cm="1">
        <f t="array" aca="1" ref="I15" ca="1">_xlfn.IFS(H15="","",H15&lt;-1,"Low",AND(-1&lt;H15, H15&lt;1),"Average",H15&gt;1, "High")</f>
        <v/>
      </c>
      <c r="J15" s="161" t="s">
        <v>143</v>
      </c>
      <c r="K15" s="161" t="s">
        <v>1476</v>
      </c>
      <c r="AE15" s="62"/>
    </row>
    <row r="16" spans="1:31" s="33" customFormat="1" x14ac:dyDescent="0.25">
      <c r="A16" s="155">
        <v>6</v>
      </c>
      <c r="B16" s="156" t="s">
        <v>8</v>
      </c>
      <c r="C16" s="176"/>
      <c r="F16" s="224" t="s">
        <v>137</v>
      </c>
      <c r="G16" s="225"/>
      <c r="H16" s="226"/>
      <c r="I16" s="227"/>
      <c r="J16" s="228"/>
      <c r="K16" s="229" t="s">
        <v>1598</v>
      </c>
      <c r="AE16" s="62"/>
    </row>
    <row r="17" spans="1:31" s="33" customFormat="1" x14ac:dyDescent="0.25">
      <c r="A17" s="149">
        <v>7</v>
      </c>
      <c r="B17" s="33" t="s">
        <v>9</v>
      </c>
      <c r="C17" s="175"/>
      <c r="F17" s="157" t="s">
        <v>231</v>
      </c>
      <c r="G17" s="158" t="str" cm="1">
        <f t="array" ref="G17">IF(SUM(G$11:G$15)&gt;0,SUM(SUMIF(F$11:F$15,{"Negative-Difficulty identifying feelings","Positive-Difficulty identifying feelings"},G$11:G$15)),"")</f>
        <v/>
      </c>
      <c r="H17" s="159" t="str">
        <f t="shared" ca="1" si="0"/>
        <v/>
      </c>
      <c r="I17" s="190" t="str" cm="1">
        <f t="array" aca="1" ref="I17" ca="1">_xlfn.IFS(H17="","",H17&lt;-1,"Low",AND(-1&lt;H17, H17&lt;1),"Average",H17&gt;1, "High")</f>
        <v/>
      </c>
      <c r="J17" s="161" t="s">
        <v>144</v>
      </c>
      <c r="K17" s="161" t="s">
        <v>1599</v>
      </c>
      <c r="AE17" s="62"/>
    </row>
    <row r="18" spans="1:31" s="33" customFormat="1" x14ac:dyDescent="0.25">
      <c r="A18" s="155">
        <v>8</v>
      </c>
      <c r="B18" s="156" t="s">
        <v>10</v>
      </c>
      <c r="C18" s="176"/>
      <c r="F18" s="157" t="s">
        <v>232</v>
      </c>
      <c r="G18" s="158" t="str" cm="1">
        <f t="array" ref="G18">IF(SUM(G$11:G$15)&gt;0,SUM(SUMIF(F$11:F$15,{"Negative-Difficulty describing feelings","Positive-Difficulty describing feelings"},G$11:G$15)),"")</f>
        <v/>
      </c>
      <c r="H18" s="159" t="str">
        <f t="shared" ca="1" si="0"/>
        <v/>
      </c>
      <c r="I18" s="190" t="str" cm="1">
        <f t="array" aca="1" ref="I18" ca="1">_xlfn.IFS(H18="","",H18&lt;-1,"Low",AND(-1&lt;H18, H18&lt;1),"Average",H18&gt;1, "High")</f>
        <v/>
      </c>
      <c r="J18" s="161" t="s">
        <v>145</v>
      </c>
      <c r="K18" s="161" t="s">
        <v>1600</v>
      </c>
      <c r="AE18" s="62"/>
    </row>
    <row r="19" spans="1:31" s="33" customFormat="1" x14ac:dyDescent="0.25">
      <c r="A19" s="149">
        <v>9</v>
      </c>
      <c r="B19" s="33" t="s">
        <v>11</v>
      </c>
      <c r="C19" s="175"/>
      <c r="F19" s="157" t="s">
        <v>233</v>
      </c>
      <c r="G19" s="158" t="str" cm="1">
        <f t="array" ref="G19">IF(SUM(G$11:G$15)&gt;0,SUM(SUMIF(F$11:F$15,{"Negative-Difficulty identifying feelings","Negative-Difficulty describing feelings"},G$11:G$15)),"")</f>
        <v/>
      </c>
      <c r="H19" s="159" t="str">
        <f t="shared" ca="1" si="0"/>
        <v/>
      </c>
      <c r="I19" s="190" t="str" cm="1">
        <f t="array" aca="1" ref="I19" ca="1">_xlfn.IFS(H19="","",H19&lt;-1,"Low",AND(-1&lt;H19, H19&lt;1),"Average",H19&gt;1, "High")</f>
        <v/>
      </c>
      <c r="J19" s="161" t="s">
        <v>146</v>
      </c>
      <c r="K19" s="161" t="s">
        <v>1601</v>
      </c>
      <c r="AE19" s="62"/>
    </row>
    <row r="20" spans="1:31" s="33" customFormat="1" x14ac:dyDescent="0.25">
      <c r="A20" s="155">
        <v>10</v>
      </c>
      <c r="B20" s="156" t="s">
        <v>12</v>
      </c>
      <c r="C20" s="176"/>
      <c r="F20" s="157" t="s">
        <v>234</v>
      </c>
      <c r="G20" s="158" t="str" cm="1">
        <f t="array" ref="G20">IF(SUM(G$11:G$15)&gt;0,SUM(SUMIF(F$11:F$15,{"Positive-Difficulty identifying feelings","Positive-Difficulty describing feelings"},G$11:G$15)),"")</f>
        <v/>
      </c>
      <c r="H20" s="159" t="str">
        <f t="shared" ca="1" si="0"/>
        <v/>
      </c>
      <c r="I20" s="190" t="str" cm="1">
        <f t="array" aca="1" ref="I20" ca="1">_xlfn.IFS(H20="","",H20&lt;-1,"Low",AND(-1&lt;H20, H20&lt;1),"Average",H20&gt;1, "High")</f>
        <v/>
      </c>
      <c r="J20" s="161" t="s">
        <v>147</v>
      </c>
      <c r="K20" s="161" t="s">
        <v>1602</v>
      </c>
      <c r="AE20" s="62"/>
    </row>
    <row r="21" spans="1:31" s="33" customFormat="1" x14ac:dyDescent="0.25">
      <c r="A21" s="149">
        <v>11</v>
      </c>
      <c r="B21" s="33" t="s">
        <v>13</v>
      </c>
      <c r="C21" s="175"/>
      <c r="F21" s="157" t="s">
        <v>235</v>
      </c>
      <c r="G21" s="158" t="str" cm="1">
        <f t="array" ref="G21">IF(SUM(G$11:G$15)&gt;0,SUM(SUMIF(F$11:F$15,{"Negative-Difficulty identifying feelings","Positive-Difficulty identifying feelings","Negative-Difficulty describing feelings","Positive-Difficulty describing feelings"},G$11:G$15)),"")</f>
        <v/>
      </c>
      <c r="H21" s="159" t="str">
        <f t="shared" ca="1" si="0"/>
        <v/>
      </c>
      <c r="I21" s="190" t="str" cm="1">
        <f t="array" aca="1" ref="I21" ca="1">_xlfn.IFS(H21="","",H21&lt;-1,"Low",AND(-1&lt;H21, H21&lt;1),"Average",H21&gt;1, "High")</f>
        <v/>
      </c>
      <c r="J21" s="161" t="s">
        <v>148</v>
      </c>
      <c r="K21" s="161" t="s">
        <v>1603</v>
      </c>
      <c r="AE21" s="62"/>
    </row>
    <row r="22" spans="1:31" s="33" customFormat="1" x14ac:dyDescent="0.25">
      <c r="A22" s="155">
        <v>12</v>
      </c>
      <c r="B22" s="156" t="s">
        <v>14</v>
      </c>
      <c r="C22" s="176"/>
      <c r="F22" s="162" t="s">
        <v>138</v>
      </c>
      <c r="G22" s="135" t="str" cm="1">
        <f t="array" ref="G22">IF(SUM(G$11:G$15)&gt;0,SUM(SUMIF(F$11:F$15,{"Negative-Difficulty identifying feelings","Positive-Difficulty identifying feelings","Negative-Difficulty describing feelings","Positive-Difficulty describing feelings","General-Externally orientated thinking"},G$11:G$15)),"")</f>
        <v/>
      </c>
      <c r="H22" s="163" t="str">
        <f t="shared" ca="1" si="0"/>
        <v/>
      </c>
      <c r="I22" s="137" t="str" cm="1">
        <f t="array" aca="1" ref="I22" ca="1">_xlfn.IFS(H22="","",H22&lt;-1,"Low",AND(-1&lt;H22, H22&lt;1),"Average",H22&gt;1, "High")</f>
        <v/>
      </c>
      <c r="J22" s="165" t="s">
        <v>149</v>
      </c>
      <c r="K22" s="165" t="s">
        <v>1604</v>
      </c>
      <c r="AE22" s="62"/>
    </row>
    <row r="23" spans="1:31" s="33" customFormat="1" x14ac:dyDescent="0.25">
      <c r="A23" s="149">
        <v>13</v>
      </c>
      <c r="B23" s="33" t="s">
        <v>15</v>
      </c>
      <c r="C23" s="175"/>
      <c r="AE23" s="62"/>
    </row>
    <row r="24" spans="1:31" s="33" customFormat="1" x14ac:dyDescent="0.25">
      <c r="A24" s="155">
        <v>14</v>
      </c>
      <c r="B24" s="156" t="s">
        <v>16</v>
      </c>
      <c r="C24" s="176"/>
      <c r="AE24" s="62"/>
    </row>
    <row r="25" spans="1:31" s="33" customFormat="1" ht="21" x14ac:dyDescent="0.25">
      <c r="A25" s="149">
        <v>15</v>
      </c>
      <c r="B25" s="33" t="s">
        <v>17</v>
      </c>
      <c r="C25" s="175"/>
      <c r="F25" s="253" t="s">
        <v>237</v>
      </c>
      <c r="G25" s="52"/>
      <c r="H25" s="52"/>
      <c r="I25" s="52"/>
      <c r="J25" s="52"/>
      <c r="K25" s="52"/>
      <c r="AE25" s="62"/>
    </row>
    <row r="26" spans="1:31" s="33" customFormat="1" x14ac:dyDescent="0.25">
      <c r="A26" s="155">
        <v>16</v>
      </c>
      <c r="B26" s="156" t="s">
        <v>18</v>
      </c>
      <c r="C26" s="176"/>
      <c r="F26" s="33" t="s">
        <v>236</v>
      </c>
      <c r="AE26" s="62"/>
    </row>
    <row r="27" spans="1:31" s="33" customFormat="1" x14ac:dyDescent="0.25">
      <c r="A27" s="149">
        <v>17</v>
      </c>
      <c r="B27" s="33" t="s">
        <v>19</v>
      </c>
      <c r="C27" s="175"/>
      <c r="AE27" s="62"/>
    </row>
    <row r="28" spans="1:31" s="33" customFormat="1" x14ac:dyDescent="0.25">
      <c r="A28" s="155">
        <v>18</v>
      </c>
      <c r="B28" s="156" t="s">
        <v>20</v>
      </c>
      <c r="C28" s="176"/>
      <c r="F28" s="51" t="s">
        <v>150</v>
      </c>
      <c r="AE28" s="62"/>
    </row>
    <row r="29" spans="1:31" s="33" customFormat="1" x14ac:dyDescent="0.25">
      <c r="A29" s="149">
        <v>19</v>
      </c>
      <c r="B29" s="33" t="s">
        <v>21</v>
      </c>
      <c r="C29" s="175"/>
      <c r="F29" s="101" t="s">
        <v>238</v>
      </c>
      <c r="AE29" s="62"/>
    </row>
    <row r="30" spans="1:31" s="33" customFormat="1" x14ac:dyDescent="0.25">
      <c r="A30" s="155">
        <v>20</v>
      </c>
      <c r="B30" s="156" t="s">
        <v>22</v>
      </c>
      <c r="C30" s="176"/>
      <c r="F30" s="101" t="s">
        <v>239</v>
      </c>
      <c r="AE30" s="62"/>
    </row>
    <row r="31" spans="1:31" s="33" customFormat="1" x14ac:dyDescent="0.25">
      <c r="A31" s="149">
        <v>21</v>
      </c>
      <c r="B31" s="33" t="s">
        <v>23</v>
      </c>
      <c r="C31" s="175"/>
      <c r="F31" s="101" t="s">
        <v>240</v>
      </c>
      <c r="AE31" s="62"/>
    </row>
    <row r="32" spans="1:31" s="33" customFormat="1" x14ac:dyDescent="0.25">
      <c r="A32" s="155">
        <v>22</v>
      </c>
      <c r="B32" s="156" t="s">
        <v>24</v>
      </c>
      <c r="C32" s="176"/>
      <c r="AE32" s="62"/>
    </row>
    <row r="33" spans="1:31" s="33" customFormat="1" x14ac:dyDescent="0.25">
      <c r="A33" s="149">
        <v>23</v>
      </c>
      <c r="B33" s="33" t="s">
        <v>25</v>
      </c>
      <c r="C33" s="175"/>
      <c r="AE33" s="62"/>
    </row>
    <row r="34" spans="1:31" s="33" customFormat="1" ht="20.25" thickBot="1" x14ac:dyDescent="0.3">
      <c r="A34" s="173">
        <v>24</v>
      </c>
      <c r="B34" s="174" t="s">
        <v>26</v>
      </c>
      <c r="C34" s="177"/>
      <c r="AE34" s="62"/>
    </row>
    <row r="35" spans="1:31" s="33" customFormat="1" x14ac:dyDescent="0.25">
      <c r="A35" s="28"/>
      <c r="B35" s="28"/>
      <c r="C35" s="28"/>
      <c r="AE35" s="62"/>
    </row>
    <row r="36" spans="1:31" x14ac:dyDescent="0.3">
      <c r="G36" s="33"/>
      <c r="H36" s="33"/>
    </row>
    <row r="37" spans="1:31" x14ac:dyDescent="0.3">
      <c r="A37" s="131"/>
      <c r="B37" s="170" t="s">
        <v>797</v>
      </c>
      <c r="C37" s="131"/>
      <c r="G37" s="33"/>
      <c r="H37" s="33"/>
    </row>
    <row r="38" spans="1:31" ht="31.5" x14ac:dyDescent="0.3">
      <c r="B38" s="70" t="s">
        <v>123</v>
      </c>
      <c r="D38" s="254"/>
      <c r="E38" s="254"/>
      <c r="F38" s="254"/>
      <c r="G38" s="33"/>
      <c r="H38" s="33"/>
    </row>
    <row r="39" spans="1:31" x14ac:dyDescent="0.3">
      <c r="B39" s="255"/>
      <c r="C39" s="254"/>
      <c r="D39" s="254"/>
      <c r="E39" s="254"/>
      <c r="F39" s="254"/>
      <c r="G39" s="33"/>
      <c r="H39" s="33"/>
    </row>
    <row r="40" spans="1:31" x14ac:dyDescent="0.3">
      <c r="B40" s="254"/>
      <c r="C40" s="254"/>
      <c r="D40" s="254"/>
      <c r="E40" s="254"/>
      <c r="F40" s="254"/>
      <c r="G40" s="33"/>
      <c r="H40" s="33"/>
    </row>
    <row r="41" spans="1:31" x14ac:dyDescent="0.3">
      <c r="B41" s="254"/>
      <c r="C41" s="254"/>
      <c r="D41" s="254"/>
      <c r="E41" s="254"/>
      <c r="F41" s="254"/>
      <c r="G41" s="33"/>
      <c r="H41" s="33"/>
    </row>
    <row r="42" spans="1:31" x14ac:dyDescent="0.3">
      <c r="G42" s="33"/>
      <c r="H42" s="33"/>
    </row>
    <row r="43" spans="1:31" x14ac:dyDescent="0.3">
      <c r="G43" s="33"/>
      <c r="H43" s="33"/>
    </row>
    <row r="44" spans="1:31" x14ac:dyDescent="0.3">
      <c r="G44" s="33"/>
    </row>
    <row r="45" spans="1:31" x14ac:dyDescent="0.3">
      <c r="G45" s="33"/>
    </row>
  </sheetData>
  <sheetProtection algorithmName="SHA-512" hashValue="9ws1AK7kjtoh1iLRh6yQBIu+y2n2dsyE0u69GiHC5HyjmNI94qXeouPgkeuqZVxbhct+qlRNBqokYaphG8VM8w==" saltValue="uHxVqost4eHAqe/dU/d2Ww==" spinCount="100000" sheet="1" objects="1" scenarios="1"/>
  <mergeCells count="2">
    <mergeCell ref="A6:C6"/>
    <mergeCell ref="A7:C7"/>
  </mergeCells>
  <dataValidations count="1">
    <dataValidation type="list" allowBlank="1" showInputMessage="1" showErrorMessage="1" sqref="C11:C34" xr:uid="{738200C3-CB00-484C-BE0D-1655A13E36E6}">
      <formula1>"1,2,3,4,5,6,7"</formula1>
    </dataValidation>
  </dataValidation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880A1-2686-1A4E-8535-A043E33EFB51}">
  <sheetPr>
    <tabColor theme="6" tint="-0.249977111117893"/>
  </sheetPr>
  <dimension ref="A1:AE41"/>
  <sheetViews>
    <sheetView workbookViewId="0">
      <selection activeCell="C11" sqref="C11"/>
    </sheetView>
  </sheetViews>
  <sheetFormatPr defaultColWidth="10.875" defaultRowHeight="19.5" x14ac:dyDescent="0.3"/>
  <cols>
    <col min="1" max="1" width="8.375" style="28" customWidth="1"/>
    <col min="2" max="2" width="106" style="28" customWidth="1"/>
    <col min="3" max="3" width="12.5" style="28" customWidth="1"/>
    <col min="4" max="5" width="10.875" style="28"/>
    <col min="6" max="6" width="54.125" style="28" customWidth="1"/>
    <col min="7" max="9" width="12.5" style="28" customWidth="1"/>
    <col min="10" max="10" width="92.625" style="28" bestFit="1" customWidth="1"/>
    <col min="11" max="11" width="12.125"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F2" s="242"/>
      <c r="AE2" s="58"/>
    </row>
    <row r="3" spans="1:31" s="130" customFormat="1" ht="31.5" x14ac:dyDescent="0.5">
      <c r="A3" s="60" t="s">
        <v>1171</v>
      </c>
      <c r="AE3" s="243"/>
    </row>
    <row r="4" spans="1:31" x14ac:dyDescent="0.3">
      <c r="A4" s="244"/>
      <c r="B4" s="245"/>
      <c r="C4" s="245"/>
    </row>
    <row r="5" spans="1:31" x14ac:dyDescent="0.3">
      <c r="A5" s="36" t="s">
        <v>818</v>
      </c>
      <c r="B5" s="246"/>
      <c r="C5" s="246"/>
      <c r="F5" s="247"/>
      <c r="G5" s="248"/>
      <c r="H5" s="248"/>
      <c r="I5" s="248"/>
    </row>
    <row r="6" spans="1:31" s="133" customFormat="1" ht="35.1" customHeight="1" x14ac:dyDescent="0.25">
      <c r="A6" s="339" t="s">
        <v>1172</v>
      </c>
      <c r="B6" s="340"/>
      <c r="C6" s="341"/>
      <c r="AE6" s="134"/>
    </row>
    <row r="7" spans="1:31" s="133" customFormat="1" x14ac:dyDescent="0.25">
      <c r="A7" s="342" t="s">
        <v>255</v>
      </c>
      <c r="B7" s="343"/>
      <c r="C7" s="344"/>
      <c r="AE7" s="134"/>
    </row>
    <row r="8" spans="1:31" ht="20.25" thickBot="1" x14ac:dyDescent="0.35"/>
    <row r="9" spans="1:31" x14ac:dyDescent="0.3">
      <c r="A9" s="138"/>
      <c r="B9" s="139"/>
      <c r="C9" s="140"/>
      <c r="F9" s="139" t="s">
        <v>132</v>
      </c>
      <c r="G9" s="141"/>
      <c r="H9" s="142" t="s">
        <v>1173</v>
      </c>
      <c r="I9" s="143"/>
      <c r="J9" s="139"/>
      <c r="K9" s="139"/>
    </row>
    <row r="10" spans="1:31" s="186" customFormat="1" ht="75" x14ac:dyDescent="0.3">
      <c r="A10" s="249" t="s">
        <v>1</v>
      </c>
      <c r="B10" s="249" t="s">
        <v>2</v>
      </c>
      <c r="C10" s="250" t="s">
        <v>819</v>
      </c>
      <c r="F10" s="251" t="s">
        <v>138</v>
      </c>
      <c r="G10" s="148" t="s">
        <v>134</v>
      </c>
      <c r="H10" s="148" t="s">
        <v>135</v>
      </c>
      <c r="I10" s="148" t="s">
        <v>317</v>
      </c>
      <c r="J10" s="251" t="s">
        <v>136</v>
      </c>
      <c r="K10" s="251" t="s">
        <v>1448</v>
      </c>
      <c r="AE10" s="252"/>
    </row>
    <row r="11" spans="1:31" s="33" customFormat="1" x14ac:dyDescent="0.25">
      <c r="A11" s="149">
        <v>1</v>
      </c>
      <c r="B11" s="33" t="s">
        <v>3</v>
      </c>
      <c r="C11" s="175"/>
      <c r="F11" s="162" t="s">
        <v>279</v>
      </c>
      <c r="G11" s="135" t="str" cm="1">
        <f t="array" ref="G11">IF(COUNTA(C$11:C$230)&gt;0,SUM(SUMIF(A$11:A$230,{1,2,3,4,5,6},C$11:C$230)),"")</f>
        <v/>
      </c>
      <c r="H11" s="163" t="str">
        <f ca="1">IF(G11="","",(G11-VLOOKUP(F11,INDIRECT($H$9),2, FALSE))/VLOOKUP(F11,INDIRECT($H$9),3, FALSE))</f>
        <v/>
      </c>
      <c r="I11" s="137" t="str" cm="1">
        <f t="array" aca="1" ref="I11" ca="1">_xlfn.IFS(H11="","",H11&lt;-1,"Low",AND(-1&lt;H11, H11&lt;1),"Average",H11&gt;1, "High")</f>
        <v/>
      </c>
      <c r="J11" s="165" t="s">
        <v>149</v>
      </c>
      <c r="K11" s="165" t="s">
        <v>1477</v>
      </c>
      <c r="AE11" s="62"/>
    </row>
    <row r="12" spans="1:31" s="33" customFormat="1" x14ac:dyDescent="0.25">
      <c r="A12" s="155">
        <v>2</v>
      </c>
      <c r="B12" s="156" t="s">
        <v>4</v>
      </c>
      <c r="C12" s="176"/>
      <c r="AE12" s="62"/>
    </row>
    <row r="13" spans="1:31" s="33" customFormat="1" x14ac:dyDescent="0.25">
      <c r="A13" s="149">
        <v>3</v>
      </c>
      <c r="B13" s="33" t="s">
        <v>5</v>
      </c>
      <c r="C13" s="175"/>
      <c r="AE13" s="62"/>
    </row>
    <row r="14" spans="1:31" s="33" customFormat="1" ht="21" x14ac:dyDescent="0.25">
      <c r="A14" s="155">
        <v>4</v>
      </c>
      <c r="B14" s="156" t="s">
        <v>6</v>
      </c>
      <c r="C14" s="176"/>
      <c r="F14" s="253" t="s">
        <v>237</v>
      </c>
      <c r="G14" s="52"/>
      <c r="H14" s="52"/>
      <c r="I14" s="52"/>
      <c r="J14" s="52"/>
      <c r="K14" s="52"/>
      <c r="AE14" s="62"/>
    </row>
    <row r="15" spans="1:31" s="33" customFormat="1" x14ac:dyDescent="0.25">
      <c r="A15" s="149">
        <v>5</v>
      </c>
      <c r="B15" s="33" t="s">
        <v>7</v>
      </c>
      <c r="C15" s="175"/>
      <c r="F15" s="33" t="s">
        <v>236</v>
      </c>
      <c r="AE15" s="62"/>
    </row>
    <row r="16" spans="1:31" s="33" customFormat="1" ht="20.25" thickBot="1" x14ac:dyDescent="0.3">
      <c r="A16" s="173">
        <v>6</v>
      </c>
      <c r="B16" s="174" t="s">
        <v>11</v>
      </c>
      <c r="C16" s="177"/>
      <c r="AE16" s="62"/>
    </row>
    <row r="17" spans="1:31" s="33" customFormat="1" x14ac:dyDescent="0.25">
      <c r="A17" s="28"/>
      <c r="B17" s="28"/>
      <c r="C17" s="28"/>
      <c r="F17" s="51" t="s">
        <v>150</v>
      </c>
      <c r="AE17" s="62"/>
    </row>
    <row r="18" spans="1:31" s="33" customFormat="1" x14ac:dyDescent="0.25">
      <c r="A18" s="28"/>
      <c r="B18" s="28"/>
      <c r="C18" s="28"/>
      <c r="F18" s="101" t="s">
        <v>238</v>
      </c>
      <c r="AE18" s="62"/>
    </row>
    <row r="19" spans="1:31" s="33" customFormat="1" x14ac:dyDescent="0.3">
      <c r="A19" s="131"/>
      <c r="B19" s="170" t="s">
        <v>797</v>
      </c>
      <c r="C19" s="131"/>
      <c r="F19" s="101" t="s">
        <v>239</v>
      </c>
      <c r="AE19" s="62"/>
    </row>
    <row r="20" spans="1:31" s="33" customFormat="1" ht="31.5" x14ac:dyDescent="0.25">
      <c r="A20" s="28"/>
      <c r="B20" s="256" t="s">
        <v>1378</v>
      </c>
      <c r="C20" s="28"/>
      <c r="F20" s="101" t="s">
        <v>240</v>
      </c>
      <c r="AE20" s="62"/>
    </row>
    <row r="21" spans="1:31" s="33" customFormat="1" x14ac:dyDescent="0.25">
      <c r="A21" s="28"/>
      <c r="B21" s="255"/>
      <c r="C21" s="254"/>
      <c r="AE21" s="62"/>
    </row>
    <row r="22" spans="1:31" s="33" customFormat="1" x14ac:dyDescent="0.25">
      <c r="A22" s="28"/>
      <c r="B22" s="254"/>
      <c r="C22" s="254"/>
      <c r="AE22" s="62"/>
    </row>
    <row r="23" spans="1:31" s="33" customFormat="1" x14ac:dyDescent="0.25">
      <c r="A23" s="28"/>
      <c r="B23" s="254"/>
      <c r="C23" s="254"/>
      <c r="AE23" s="62"/>
    </row>
    <row r="24" spans="1:31" s="33" customFormat="1" x14ac:dyDescent="0.25">
      <c r="A24" s="28"/>
      <c r="B24" s="28"/>
      <c r="C24" s="28"/>
      <c r="AE24" s="62"/>
    </row>
    <row r="25" spans="1:31" s="33" customFormat="1" x14ac:dyDescent="0.25">
      <c r="A25" s="28"/>
      <c r="B25" s="28"/>
      <c r="C25" s="28"/>
      <c r="F25" s="28"/>
      <c r="G25" s="28"/>
      <c r="I25" s="28"/>
      <c r="J25" s="28"/>
      <c r="K25" s="28"/>
      <c r="AE25" s="62"/>
    </row>
    <row r="26" spans="1:31" s="33" customFormat="1" x14ac:dyDescent="0.25">
      <c r="A26" s="28"/>
      <c r="B26" s="28"/>
      <c r="C26" s="28"/>
      <c r="F26" s="28"/>
      <c r="G26" s="28"/>
      <c r="I26" s="28"/>
      <c r="J26" s="28"/>
      <c r="K26" s="28"/>
      <c r="AE26" s="62"/>
    </row>
    <row r="27" spans="1:31" s="33" customFormat="1" x14ac:dyDescent="0.25">
      <c r="A27" s="28"/>
      <c r="B27" s="28"/>
      <c r="C27" s="28"/>
      <c r="F27" s="254"/>
      <c r="G27" s="28"/>
      <c r="I27" s="28"/>
      <c r="J27" s="28"/>
      <c r="K27" s="28"/>
      <c r="AE27" s="62"/>
    </row>
    <row r="28" spans="1:31" s="33" customFormat="1" x14ac:dyDescent="0.25">
      <c r="A28" s="28"/>
      <c r="B28" s="28"/>
      <c r="C28" s="28"/>
      <c r="F28" s="254"/>
      <c r="G28" s="28"/>
      <c r="I28" s="28"/>
      <c r="J28" s="28"/>
      <c r="K28" s="28"/>
      <c r="AE28" s="62"/>
    </row>
    <row r="29" spans="1:31" s="33" customFormat="1" x14ac:dyDescent="0.25">
      <c r="A29" s="28"/>
      <c r="B29" s="28"/>
      <c r="C29" s="28"/>
      <c r="F29" s="254"/>
      <c r="G29" s="28"/>
      <c r="I29" s="28"/>
      <c r="J29" s="28"/>
      <c r="K29" s="28"/>
      <c r="AE29" s="62"/>
    </row>
    <row r="30" spans="1:31" s="33" customFormat="1" x14ac:dyDescent="0.25">
      <c r="A30" s="28"/>
      <c r="B30" s="28"/>
      <c r="C30" s="28"/>
      <c r="F30" s="254"/>
      <c r="G30" s="28"/>
      <c r="I30" s="28"/>
      <c r="J30" s="28"/>
      <c r="K30" s="28"/>
      <c r="AE30" s="62"/>
    </row>
    <row r="31" spans="1:31" s="33" customFormat="1" x14ac:dyDescent="0.25">
      <c r="A31" s="28"/>
      <c r="B31" s="28"/>
      <c r="C31" s="28"/>
      <c r="F31" s="28"/>
      <c r="G31" s="28"/>
      <c r="I31" s="28"/>
      <c r="J31" s="28"/>
      <c r="K31" s="28"/>
      <c r="AE31" s="62"/>
    </row>
    <row r="32" spans="1:31" s="33" customFormat="1" x14ac:dyDescent="0.25">
      <c r="A32" s="28"/>
      <c r="B32" s="28"/>
      <c r="C32" s="28"/>
      <c r="F32" s="28"/>
      <c r="G32" s="28"/>
      <c r="I32" s="28"/>
      <c r="J32" s="28"/>
      <c r="K32" s="28"/>
      <c r="AE32" s="62"/>
    </row>
    <row r="33" spans="1:31" s="33" customFormat="1" x14ac:dyDescent="0.25">
      <c r="A33" s="28"/>
      <c r="B33" s="28"/>
      <c r="C33" s="28"/>
      <c r="F33" s="28"/>
      <c r="G33" s="28"/>
      <c r="H33" s="28"/>
      <c r="I33" s="28"/>
      <c r="J33" s="28"/>
      <c r="K33" s="28"/>
      <c r="AE33" s="62"/>
    </row>
    <row r="34" spans="1:31" s="33" customFormat="1" x14ac:dyDescent="0.25">
      <c r="A34" s="28"/>
      <c r="B34" s="28"/>
      <c r="C34" s="28"/>
      <c r="F34" s="28"/>
      <c r="G34" s="28"/>
      <c r="H34" s="28"/>
      <c r="I34" s="28"/>
      <c r="J34" s="28"/>
      <c r="K34" s="28"/>
      <c r="AE34" s="62"/>
    </row>
    <row r="35" spans="1:31" s="33" customFormat="1" x14ac:dyDescent="0.25">
      <c r="A35" s="28"/>
      <c r="B35" s="28"/>
      <c r="C35" s="28"/>
      <c r="F35" s="28"/>
      <c r="G35" s="28"/>
      <c r="H35" s="28"/>
      <c r="I35" s="28"/>
      <c r="J35" s="28"/>
      <c r="K35" s="28"/>
      <c r="AE35" s="62"/>
    </row>
    <row r="38" spans="1:31" x14ac:dyDescent="0.3">
      <c r="D38" s="254"/>
      <c r="E38" s="254"/>
    </row>
    <row r="39" spans="1:31" x14ac:dyDescent="0.3">
      <c r="D39" s="254"/>
      <c r="E39" s="254"/>
    </row>
    <row r="40" spans="1:31" x14ac:dyDescent="0.3">
      <c r="D40" s="254"/>
      <c r="E40" s="254"/>
    </row>
    <row r="41" spans="1:31" x14ac:dyDescent="0.3">
      <c r="D41" s="254"/>
      <c r="E41" s="254"/>
    </row>
  </sheetData>
  <sheetProtection algorithmName="SHA-512" hashValue="JYtm6ES0l9iigyzkzdTfzDbBqy4GXKxEkK+39T2JPbW2KHa9cNmCCwovBd7URAnnWVA8VwxtNnv0DaJ2k1XAdA==" saltValue="DH0z0peAkRUt7gPN06i4Fg==" spinCount="100000" sheet="1" objects="1" scenarios="1"/>
  <mergeCells count="2">
    <mergeCell ref="A6:C6"/>
    <mergeCell ref="A7:C7"/>
  </mergeCells>
  <dataValidations count="1">
    <dataValidation type="list" allowBlank="1" showInputMessage="1" showErrorMessage="1" sqref="C11:C16" xr:uid="{9B314A95-0E2E-B44B-B4FB-1BE315F79C40}">
      <formula1>"1,2,3,4,5,6,7"</formula1>
    </dataValidation>
  </dataValidation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3C411-673B-0543-8835-6DE38D6E47F7}">
  <sheetPr>
    <tabColor theme="6" tint="-0.249977111117893"/>
  </sheetPr>
  <dimension ref="A1:AE46"/>
  <sheetViews>
    <sheetView workbookViewId="0">
      <selection activeCell="C11" sqref="C11"/>
    </sheetView>
  </sheetViews>
  <sheetFormatPr defaultColWidth="10.875" defaultRowHeight="19.5" x14ac:dyDescent="0.3"/>
  <cols>
    <col min="1" max="1" width="8.375" style="28" customWidth="1"/>
    <col min="2" max="2" width="106" style="28" customWidth="1"/>
    <col min="3" max="3" width="12.5" style="28" customWidth="1"/>
    <col min="4" max="5" width="10.875" style="28"/>
    <col min="6" max="6" width="54.125" style="28" customWidth="1"/>
    <col min="7" max="9" width="12.5" style="28" customWidth="1"/>
    <col min="10" max="10" width="154.625" style="28" bestFit="1" customWidth="1"/>
    <col min="11" max="11" width="205.375"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60" t="s">
        <v>27</v>
      </c>
      <c r="F3" s="130"/>
      <c r="G3" s="130"/>
      <c r="H3" s="130"/>
      <c r="I3" s="130"/>
      <c r="J3" s="130"/>
      <c r="AE3" s="61"/>
    </row>
    <row r="4" spans="1:31" x14ac:dyDescent="0.3">
      <c r="A4" s="257"/>
    </row>
    <row r="5" spans="1:31" x14ac:dyDescent="0.3">
      <c r="A5" s="131" t="s">
        <v>818</v>
      </c>
      <c r="B5" s="132"/>
      <c r="C5" s="132"/>
    </row>
    <row r="6" spans="1:31" s="133" customFormat="1" ht="35.1" customHeight="1" x14ac:dyDescent="0.25">
      <c r="A6" s="339" t="s">
        <v>252</v>
      </c>
      <c r="B6" s="340"/>
      <c r="C6" s="341"/>
      <c r="AE6" s="134"/>
    </row>
    <row r="7" spans="1:31" s="133" customFormat="1" x14ac:dyDescent="0.25">
      <c r="A7" s="342" t="s">
        <v>255</v>
      </c>
      <c r="B7" s="343"/>
      <c r="C7" s="344"/>
      <c r="AE7" s="134"/>
    </row>
    <row r="8" spans="1:31" ht="20.25" thickBot="1" x14ac:dyDescent="0.35"/>
    <row r="9" spans="1:31" x14ac:dyDescent="0.3">
      <c r="A9" s="138"/>
      <c r="B9" s="139"/>
      <c r="C9" s="140"/>
      <c r="F9" s="139" t="s">
        <v>132</v>
      </c>
      <c r="G9" s="141"/>
      <c r="H9" s="142" t="s">
        <v>124</v>
      </c>
      <c r="I9" s="143"/>
      <c r="J9" s="139"/>
      <c r="K9" s="139"/>
    </row>
    <row r="10" spans="1:31" ht="75" x14ac:dyDescent="0.3">
      <c r="A10" s="144" t="s">
        <v>1</v>
      </c>
      <c r="B10" s="144" t="s">
        <v>2</v>
      </c>
      <c r="C10" s="145" t="s">
        <v>819</v>
      </c>
      <c r="F10" s="146" t="s">
        <v>133</v>
      </c>
      <c r="G10" s="147" t="s">
        <v>134</v>
      </c>
      <c r="H10" s="147" t="s">
        <v>135</v>
      </c>
      <c r="I10" s="148" t="s">
        <v>317</v>
      </c>
      <c r="J10" s="146" t="s">
        <v>136</v>
      </c>
      <c r="K10" s="146" t="s">
        <v>1448</v>
      </c>
    </row>
    <row r="11" spans="1:31" s="33" customFormat="1" x14ac:dyDescent="0.25">
      <c r="A11" s="149">
        <v>1</v>
      </c>
      <c r="B11" s="33" t="s">
        <v>87</v>
      </c>
      <c r="C11" s="175"/>
      <c r="F11" s="150" t="s">
        <v>166</v>
      </c>
      <c r="G11" s="151" t="str" cm="1">
        <f t="array" ref="G11">IF(COUNTA(C$11:C$230)&gt;0,SUM(SUMIF(A$11:A$230,{1,5,9,13},C$11:C$230)),"")</f>
        <v/>
      </c>
      <c r="H11" s="152" t="str">
        <f ca="1">IF(G11="","",(G11-VLOOKUP(F11,INDIRECT($H$9),2, FALSE))/VLOOKUP(F11,INDIRECT($H$9),3, FALSE))</f>
        <v/>
      </c>
      <c r="I11" s="198" t="str" cm="1">
        <f t="array" aca="1" ref="I11" ca="1">_xlfn.IFS(H11="","",H11&lt;-1,"Low",AND(-1&lt;H11, H11&lt;1),"Average",H11&gt;1, "High")</f>
        <v/>
      </c>
      <c r="J11" s="154" t="s">
        <v>179</v>
      </c>
      <c r="K11" s="154" t="s">
        <v>1478</v>
      </c>
      <c r="AE11" s="62"/>
    </row>
    <row r="12" spans="1:31" s="33" customFormat="1" x14ac:dyDescent="0.25">
      <c r="A12" s="155">
        <v>2</v>
      </c>
      <c r="B12" s="156" t="s">
        <v>88</v>
      </c>
      <c r="C12" s="176"/>
      <c r="F12" s="157" t="s">
        <v>167</v>
      </c>
      <c r="G12" s="158" t="str" cm="1">
        <f t="array" ref="G12">IF(COUNTA(C$11:C$230)&gt;0,SUM(SUMIF(A$11:A$230,{3,7,11,15},C$11:C$230)),"")</f>
        <v/>
      </c>
      <c r="H12" s="159" t="str">
        <f t="shared" ref="H12:H24" ca="1" si="0">IF(G12="","",(G12-VLOOKUP(F12,INDIRECT($H$9),2, FALSE))/VLOOKUP(F12,INDIRECT($H$9),3, FALSE))</f>
        <v/>
      </c>
      <c r="I12" s="190" t="str" cm="1">
        <f t="array" aca="1" ref="I12" ca="1">_xlfn.IFS(H12="","",H12&lt;-1,"Low",AND(-1&lt;H12, H12&lt;1),"Average",H12&gt;1, "High")</f>
        <v/>
      </c>
      <c r="J12" s="161" t="s">
        <v>180</v>
      </c>
      <c r="K12" s="161" t="s">
        <v>1479</v>
      </c>
      <c r="AE12" s="62"/>
    </row>
    <row r="13" spans="1:31" s="33" customFormat="1" x14ac:dyDescent="0.25">
      <c r="A13" s="149">
        <v>3</v>
      </c>
      <c r="B13" s="33" t="s">
        <v>89</v>
      </c>
      <c r="C13" s="175"/>
      <c r="F13" s="157" t="s">
        <v>168</v>
      </c>
      <c r="G13" s="158" t="str" cm="1">
        <f t="array" ref="G13">IF(COUNTA(C$11:C$230)&gt;0,SUM(SUMIF(A$11:A$230,{2,6,10,14},C$11:C$230)),"")</f>
        <v/>
      </c>
      <c r="H13" s="159" t="str">
        <f t="shared" ca="1" si="0"/>
        <v/>
      </c>
      <c r="I13" s="190" t="str" cm="1">
        <f t="array" aca="1" ref="I13" ca="1">_xlfn.IFS(H13="","",H13&lt;-1,"Low",AND(-1&lt;H13, H13&lt;1),"Average",H13&gt;1, "High")</f>
        <v/>
      </c>
      <c r="J13" s="161" t="s">
        <v>181</v>
      </c>
      <c r="K13" s="161" t="s">
        <v>1480</v>
      </c>
      <c r="AE13" s="62"/>
    </row>
    <row r="14" spans="1:31" s="33" customFormat="1" x14ac:dyDescent="0.25">
      <c r="A14" s="155">
        <v>4</v>
      </c>
      <c r="B14" s="156" t="s">
        <v>90</v>
      </c>
      <c r="C14" s="176"/>
      <c r="F14" s="157" t="s">
        <v>169</v>
      </c>
      <c r="G14" s="158" t="str" cm="1">
        <f t="array" ref="G14">IF(COUNTA(C$11:C$230)&gt;0,SUM(SUMIF(A$11:A$230,{4,8,12,16},C$11:C$230)),"")</f>
        <v/>
      </c>
      <c r="H14" s="159" t="str">
        <f t="shared" ca="1" si="0"/>
        <v/>
      </c>
      <c r="I14" s="190" t="str" cm="1">
        <f t="array" aca="1" ref="I14" ca="1">_xlfn.IFS(H14="","",H14&lt;-1,"Low",AND(-1&lt;H14, H14&lt;1),"Average",H14&gt;1, "High")</f>
        <v/>
      </c>
      <c r="J14" s="161" t="s">
        <v>182</v>
      </c>
      <c r="K14" s="161" t="s">
        <v>1481</v>
      </c>
      <c r="AE14" s="62"/>
    </row>
    <row r="15" spans="1:31" s="33" customFormat="1" x14ac:dyDescent="0.25">
      <c r="A15" s="149">
        <v>5</v>
      </c>
      <c r="B15" s="33" t="s">
        <v>91</v>
      </c>
      <c r="C15" s="175"/>
      <c r="F15" s="157" t="s">
        <v>170</v>
      </c>
      <c r="G15" s="158" t="str" cm="1">
        <f t="array" ref="G15">IF(COUNTA(C$11:C$230)&gt;0,SUM(SUMIF(A$11:A$230,{18,22,26,30},C$11:C$230)),"")</f>
        <v/>
      </c>
      <c r="H15" s="159" t="str">
        <f t="shared" ca="1" si="0"/>
        <v/>
      </c>
      <c r="I15" s="190" t="str" cm="1">
        <f t="array" aca="1" ref="I15" ca="1">_xlfn.IFS(H15="","",H15&lt;-1,"Low",AND(-1&lt;H15, H15&lt;1),"Average",H15&gt;1, "High")</f>
        <v/>
      </c>
      <c r="J15" s="161" t="s">
        <v>183</v>
      </c>
      <c r="K15" s="161" t="s">
        <v>1482</v>
      </c>
      <c r="AE15" s="62"/>
    </row>
    <row r="16" spans="1:31" s="33" customFormat="1" x14ac:dyDescent="0.25">
      <c r="A16" s="155">
        <v>6</v>
      </c>
      <c r="B16" s="156" t="s">
        <v>92</v>
      </c>
      <c r="C16" s="176"/>
      <c r="F16" s="157" t="s">
        <v>171</v>
      </c>
      <c r="G16" s="158" t="str" cm="1">
        <f t="array" ref="G16">IF(COUNTA(C$11:C$230)&gt;0,SUM(SUMIF(A$11:A$230,{17,21,25,29},C$11:C$230)),"")</f>
        <v/>
      </c>
      <c r="H16" s="159" t="str">
        <f t="shared" ca="1" si="0"/>
        <v/>
      </c>
      <c r="I16" s="190" t="str" cm="1">
        <f t="array" aca="1" ref="I16" ca="1">_xlfn.IFS(H16="","",H16&lt;-1,"Low",AND(-1&lt;H16, H16&lt;1),"Average",H16&gt;1, "High")</f>
        <v/>
      </c>
      <c r="J16" s="161" t="s">
        <v>184</v>
      </c>
      <c r="K16" s="161" t="s">
        <v>1483</v>
      </c>
      <c r="AE16" s="62"/>
    </row>
    <row r="17" spans="1:31" s="33" customFormat="1" x14ac:dyDescent="0.25">
      <c r="A17" s="149">
        <v>7</v>
      </c>
      <c r="B17" s="33" t="s">
        <v>93</v>
      </c>
      <c r="C17" s="175"/>
      <c r="F17" s="157" t="s">
        <v>172</v>
      </c>
      <c r="G17" s="158" t="str" cm="1">
        <f t="array" ref="G17">IF(COUNTA(C$11:C$230)&gt;0,SUM(SUMIF(A$11:A$230,{19,23,27,31},C$11:C$230)),"")</f>
        <v/>
      </c>
      <c r="H17" s="159" t="str">
        <f t="shared" ca="1" si="0"/>
        <v/>
      </c>
      <c r="I17" s="190" t="str" cm="1">
        <f t="array" aca="1" ref="I17" ca="1">_xlfn.IFS(H17="","",H17&lt;-1,"Low",AND(-1&lt;H17, H17&lt;1),"Average",H17&gt;1, "High")</f>
        <v/>
      </c>
      <c r="J17" s="161" t="s">
        <v>185</v>
      </c>
      <c r="K17" s="161" t="s">
        <v>1484</v>
      </c>
      <c r="AE17" s="62"/>
    </row>
    <row r="18" spans="1:31" s="33" customFormat="1" x14ac:dyDescent="0.25">
      <c r="A18" s="155">
        <v>8</v>
      </c>
      <c r="B18" s="156" t="s">
        <v>94</v>
      </c>
      <c r="C18" s="176"/>
      <c r="F18" s="157" t="s">
        <v>173</v>
      </c>
      <c r="G18" s="158" t="str" cm="1">
        <f t="array" ref="G18">IF(COUNTA(C$11:C$230)&gt;0,SUM(SUMIF(A$11:A$230,{20,24,28,32},C$11:C$230)),"")</f>
        <v/>
      </c>
      <c r="H18" s="159" t="str">
        <f t="shared" ca="1" si="0"/>
        <v/>
      </c>
      <c r="I18" s="190" t="str" cm="1">
        <f t="array" aca="1" ref="I18" ca="1">_xlfn.IFS(H18="","",H18&lt;-1,"Low",AND(-1&lt;H18, H18&lt;1),"Average",H18&gt;1, "High")</f>
        <v/>
      </c>
      <c r="J18" s="161" t="s">
        <v>186</v>
      </c>
      <c r="K18" s="161" t="s">
        <v>1485</v>
      </c>
      <c r="AE18" s="62"/>
    </row>
    <row r="19" spans="1:31" s="33" customFormat="1" x14ac:dyDescent="0.25">
      <c r="A19" s="149">
        <v>9</v>
      </c>
      <c r="B19" s="33" t="s">
        <v>95</v>
      </c>
      <c r="C19" s="175"/>
      <c r="F19" s="224" t="s">
        <v>137</v>
      </c>
      <c r="G19" s="225"/>
      <c r="H19" s="226"/>
      <c r="I19" s="227"/>
      <c r="J19" s="228"/>
      <c r="K19" s="229" t="s">
        <v>1598</v>
      </c>
      <c r="AE19" s="62"/>
    </row>
    <row r="20" spans="1:31" s="33" customFormat="1" x14ac:dyDescent="0.25">
      <c r="A20" s="155">
        <v>10</v>
      </c>
      <c r="B20" s="156" t="s">
        <v>96</v>
      </c>
      <c r="C20" s="176"/>
      <c r="F20" s="157" t="s">
        <v>174</v>
      </c>
      <c r="G20" s="158" t="str" cm="1">
        <f t="array" ref="G20">IF(SUM(G$11:G$18)&gt;0,SUM(SUMIF(F$11:F$18,{"Negative-Controlling experience","Negative-Inhibiting behavior","Negative-Activating behavior","Negative-Tolerating emotions"},G$11:G$18)),"")</f>
        <v/>
      </c>
      <c r="H20" s="159" t="str">
        <f t="shared" ca="1" si="0"/>
        <v/>
      </c>
      <c r="I20" s="190" t="str" cm="1">
        <f t="array" aca="1" ref="I20" ca="1">_xlfn.IFS(H20="","",H20&lt;-1,"Low",AND(-1&lt;H20, H20&lt;1),"Average",H20&gt;1, "High")</f>
        <v/>
      </c>
      <c r="J20" s="161" t="s">
        <v>187</v>
      </c>
      <c r="K20" s="161" t="s">
        <v>1605</v>
      </c>
      <c r="AE20" s="62"/>
    </row>
    <row r="21" spans="1:31" s="33" customFormat="1" x14ac:dyDescent="0.25">
      <c r="A21" s="149">
        <v>11</v>
      </c>
      <c r="B21" s="33" t="s">
        <v>97</v>
      </c>
      <c r="C21" s="175"/>
      <c r="F21" s="157" t="s">
        <v>175</v>
      </c>
      <c r="G21" s="158" t="str" cm="1">
        <f t="array" ref="G21">IF(SUM(G$11:G$18)&gt;0,SUM(SUMIF(F$11:F$18,{"Positive-Controlling experience","Positive-Inhibiting behavior","Positive-Activating behavior","Positive-Tolerating emotions"},G$11:G$18)),"")</f>
        <v/>
      </c>
      <c r="H21" s="159" t="str">
        <f t="shared" ca="1" si="0"/>
        <v/>
      </c>
      <c r="I21" s="190" t="str" cm="1">
        <f t="array" aca="1" ref="I21" ca="1">_xlfn.IFS(H21="","",H21&lt;-1,"Low",AND(-1&lt;H21, H21&lt;1),"Average",H21&gt;1, "High")</f>
        <v/>
      </c>
      <c r="J21" s="161" t="s">
        <v>188</v>
      </c>
      <c r="K21" s="161" t="s">
        <v>1606</v>
      </c>
      <c r="AE21" s="62"/>
    </row>
    <row r="22" spans="1:31" s="33" customFormat="1" x14ac:dyDescent="0.25">
      <c r="A22" s="155">
        <v>12</v>
      </c>
      <c r="B22" s="156" t="s">
        <v>98</v>
      </c>
      <c r="C22" s="176"/>
      <c r="F22" s="157" t="s">
        <v>176</v>
      </c>
      <c r="G22" s="158" t="str" cm="1">
        <f t="array" ref="G22">IF(SUM(G$11:G$18)&gt;0,SUM(SUMIF(F$11:F$18,{"Negative-Controlling experience","Negative-Inhibiting behavior","Negative-Activating behavior","Negative-Tolerating emotions","Positive-Controlling experience"},G$11:G$18)),"")</f>
        <v/>
      </c>
      <c r="H22" s="159" t="str">
        <f t="shared" ca="1" si="0"/>
        <v/>
      </c>
      <c r="I22" s="190" t="str" cm="1">
        <f t="array" aca="1" ref="I22" ca="1">_xlfn.IFS(H22="","",H22&lt;-1,"Low",AND(-1&lt;H22, H22&lt;1),"Average",H22&gt;1, "High")</f>
        <v/>
      </c>
      <c r="J22" s="161" t="s">
        <v>189</v>
      </c>
      <c r="K22" s="161" t="s">
        <v>1607</v>
      </c>
      <c r="AE22" s="62"/>
    </row>
    <row r="23" spans="1:31" s="33" customFormat="1" x14ac:dyDescent="0.25">
      <c r="A23" s="149">
        <v>13</v>
      </c>
      <c r="B23" s="33" t="s">
        <v>99</v>
      </c>
      <c r="C23" s="175"/>
      <c r="F23" s="157" t="s">
        <v>177</v>
      </c>
      <c r="G23" s="158" t="str" cm="1">
        <f t="array" ref="G23">IF(SUM(G$11:G$18)&gt;0,SUM(SUMIF(F$11:F$18,{"Positive-Inhibiting behavior","Positive-Activating behavior","Positive-Tolerating emotions"},G$11:G$18)),"")</f>
        <v/>
      </c>
      <c r="H23" s="159" t="str">
        <f t="shared" ca="1" si="0"/>
        <v/>
      </c>
      <c r="I23" s="190" t="str" cm="1">
        <f t="array" aca="1" ref="I23" ca="1">_xlfn.IFS(H23="","",H23&lt;-1,"Low",AND(-1&lt;H23, H23&lt;1),"Average",H23&gt;1, "High")</f>
        <v/>
      </c>
      <c r="J23" s="161" t="s">
        <v>190</v>
      </c>
      <c r="K23" s="161" t="s">
        <v>1608</v>
      </c>
      <c r="AE23" s="62"/>
    </row>
    <row r="24" spans="1:31" s="33" customFormat="1" x14ac:dyDescent="0.25">
      <c r="A24" s="155">
        <v>14</v>
      </c>
      <c r="B24" s="156" t="s">
        <v>100</v>
      </c>
      <c r="C24" s="176"/>
      <c r="F24" s="162" t="s">
        <v>178</v>
      </c>
      <c r="G24" s="135" t="str" cm="1">
        <f t="array" ref="G24">IF(SUM(G$11:G$18)&gt;0,SUM(SUMIF(F$11:F$18,{"Negative-Controlling experience","Negative-Inhibiting behavior","Negative-Activating behavior","Negative-Tolerating emotions","Positive-Controlling experience","Positive-Inhibiting behavior","Positive-Activating behavior","Positive-Tolerating emotions"},G$11:G$18)),"")</f>
        <v/>
      </c>
      <c r="H24" s="163" t="str">
        <f t="shared" ca="1" si="0"/>
        <v/>
      </c>
      <c r="I24" s="137" t="str" cm="1">
        <f t="array" aca="1" ref="I24" ca="1">_xlfn.IFS(H24="","",H24&lt;-1,"Low",AND(-1&lt;H24, H24&lt;1),"Average",H24&gt;1, "High")</f>
        <v/>
      </c>
      <c r="J24" s="165" t="s">
        <v>191</v>
      </c>
      <c r="K24" s="165" t="s">
        <v>1609</v>
      </c>
      <c r="AE24" s="62"/>
    </row>
    <row r="25" spans="1:31" s="33" customFormat="1" x14ac:dyDescent="0.25">
      <c r="A25" s="149">
        <v>15</v>
      </c>
      <c r="B25" s="33" t="s">
        <v>101</v>
      </c>
      <c r="C25" s="175"/>
      <c r="AE25" s="62"/>
    </row>
    <row r="26" spans="1:31" s="33" customFormat="1" x14ac:dyDescent="0.25">
      <c r="A26" s="155">
        <v>16</v>
      </c>
      <c r="B26" s="156" t="s">
        <v>102</v>
      </c>
      <c r="C26" s="176"/>
      <c r="AE26" s="62"/>
    </row>
    <row r="27" spans="1:31" s="33" customFormat="1" ht="21" x14ac:dyDescent="0.25">
      <c r="A27" s="149">
        <v>17</v>
      </c>
      <c r="B27" s="33" t="s">
        <v>103</v>
      </c>
      <c r="C27" s="175"/>
      <c r="F27" s="258" t="s">
        <v>237</v>
      </c>
      <c r="G27" s="52"/>
      <c r="H27" s="52"/>
      <c r="I27" s="52"/>
      <c r="J27" s="52"/>
      <c r="K27" s="52"/>
      <c r="AE27" s="62"/>
    </row>
    <row r="28" spans="1:31" s="33" customFormat="1" x14ac:dyDescent="0.25">
      <c r="A28" s="155">
        <v>18</v>
      </c>
      <c r="B28" s="156" t="s">
        <v>104</v>
      </c>
      <c r="C28" s="176"/>
      <c r="F28" s="33" t="s">
        <v>241</v>
      </c>
      <c r="AE28" s="62"/>
    </row>
    <row r="29" spans="1:31" s="33" customFormat="1" x14ac:dyDescent="0.25">
      <c r="A29" s="149">
        <v>19</v>
      </c>
      <c r="B29" s="33" t="s">
        <v>105</v>
      </c>
      <c r="C29" s="175"/>
      <c r="AE29" s="62"/>
    </row>
    <row r="30" spans="1:31" s="33" customFormat="1" x14ac:dyDescent="0.25">
      <c r="A30" s="155">
        <v>20</v>
      </c>
      <c r="B30" s="156" t="s">
        <v>106</v>
      </c>
      <c r="C30" s="176"/>
      <c r="F30" s="51" t="s">
        <v>150</v>
      </c>
      <c r="AE30" s="62"/>
    </row>
    <row r="31" spans="1:31" s="33" customFormat="1" x14ac:dyDescent="0.25">
      <c r="A31" s="149">
        <v>21</v>
      </c>
      <c r="B31" s="33" t="s">
        <v>107</v>
      </c>
      <c r="C31" s="175"/>
      <c r="F31" s="101" t="s">
        <v>242</v>
      </c>
      <c r="AE31" s="62"/>
    </row>
    <row r="32" spans="1:31" s="33" customFormat="1" x14ac:dyDescent="0.25">
      <c r="A32" s="155">
        <v>22</v>
      </c>
      <c r="B32" s="156" t="s">
        <v>108</v>
      </c>
      <c r="C32" s="176"/>
      <c r="F32" s="101" t="s">
        <v>243</v>
      </c>
      <c r="AE32" s="62"/>
    </row>
    <row r="33" spans="1:31" s="33" customFormat="1" x14ac:dyDescent="0.25">
      <c r="A33" s="149">
        <v>23</v>
      </c>
      <c r="B33" s="33" t="s">
        <v>109</v>
      </c>
      <c r="C33" s="175"/>
      <c r="F33" s="101" t="s">
        <v>246</v>
      </c>
      <c r="AE33" s="62"/>
    </row>
    <row r="34" spans="1:31" s="33" customFormat="1" x14ac:dyDescent="0.25">
      <c r="A34" s="155">
        <v>24</v>
      </c>
      <c r="B34" s="156" t="s">
        <v>110</v>
      </c>
      <c r="C34" s="176"/>
      <c r="F34" s="28"/>
      <c r="G34" s="28"/>
      <c r="H34" s="28"/>
      <c r="I34" s="28"/>
      <c r="J34" s="28"/>
      <c r="K34" s="28"/>
      <c r="AE34" s="62"/>
    </row>
    <row r="35" spans="1:31" s="33" customFormat="1" x14ac:dyDescent="0.25">
      <c r="A35" s="149">
        <v>25</v>
      </c>
      <c r="B35" s="33" t="s">
        <v>111</v>
      </c>
      <c r="C35" s="175"/>
      <c r="F35" s="28"/>
      <c r="G35" s="28"/>
      <c r="H35" s="28"/>
      <c r="I35" s="28"/>
      <c r="J35" s="28"/>
      <c r="K35" s="28"/>
      <c r="AE35" s="62"/>
    </row>
    <row r="36" spans="1:31" s="33" customFormat="1" x14ac:dyDescent="0.25">
      <c r="A36" s="155">
        <v>26</v>
      </c>
      <c r="B36" s="156" t="s">
        <v>112</v>
      </c>
      <c r="C36" s="176"/>
      <c r="F36" s="28"/>
      <c r="G36" s="28"/>
      <c r="H36" s="28"/>
      <c r="I36" s="28"/>
      <c r="J36" s="28"/>
      <c r="K36" s="28"/>
      <c r="AE36" s="62"/>
    </row>
    <row r="37" spans="1:31" s="33" customFormat="1" x14ac:dyDescent="0.25">
      <c r="A37" s="149">
        <v>27</v>
      </c>
      <c r="B37" s="33" t="s">
        <v>113</v>
      </c>
      <c r="C37" s="175"/>
      <c r="F37" s="28"/>
      <c r="G37" s="28"/>
      <c r="H37" s="28"/>
      <c r="I37" s="28"/>
      <c r="J37" s="28"/>
      <c r="K37" s="28"/>
      <c r="AE37" s="62"/>
    </row>
    <row r="38" spans="1:31" x14ac:dyDescent="0.3">
      <c r="A38" s="155">
        <v>28</v>
      </c>
      <c r="B38" s="156" t="s">
        <v>114</v>
      </c>
      <c r="C38" s="176"/>
    </row>
    <row r="39" spans="1:31" x14ac:dyDescent="0.3">
      <c r="A39" s="149">
        <v>29</v>
      </c>
      <c r="B39" s="33" t="s">
        <v>115</v>
      </c>
      <c r="C39" s="175"/>
    </row>
    <row r="40" spans="1:31" x14ac:dyDescent="0.3">
      <c r="A40" s="155">
        <v>30</v>
      </c>
      <c r="B40" s="156" t="s">
        <v>116</v>
      </c>
      <c r="C40" s="176"/>
    </row>
    <row r="41" spans="1:31" x14ac:dyDescent="0.3">
      <c r="A41" s="149">
        <v>31</v>
      </c>
      <c r="B41" s="33" t="s">
        <v>117</v>
      </c>
      <c r="C41" s="175"/>
    </row>
    <row r="42" spans="1:31" ht="20.25" thickBot="1" x14ac:dyDescent="0.35">
      <c r="A42" s="173">
        <v>32</v>
      </c>
      <c r="B42" s="174" t="s">
        <v>118</v>
      </c>
      <c r="C42" s="177"/>
    </row>
    <row r="45" spans="1:31" x14ac:dyDescent="0.3">
      <c r="A45" s="131"/>
      <c r="B45" s="170" t="s">
        <v>797</v>
      </c>
      <c r="C45" s="131"/>
    </row>
    <row r="46" spans="1:31" ht="47.25" x14ac:dyDescent="0.3">
      <c r="B46" s="70" t="s">
        <v>125</v>
      </c>
    </row>
  </sheetData>
  <sheetProtection algorithmName="SHA-512" hashValue="HvZO3C7v4/dAPE/fSwOhUo9VeSlUH4Rp4api38UeZ68mgr9+n25tQy9aXjuaWlnMCGyZbYmoo95r4JX2g1tfeg==" saltValue="T3qnOIWCgrnOHunBaDuzYw==" spinCount="100000" sheet="1" objects="1" scenarios="1"/>
  <mergeCells count="2">
    <mergeCell ref="A6:C6"/>
    <mergeCell ref="A7:C7"/>
  </mergeCells>
  <dataValidations count="1">
    <dataValidation type="list" allowBlank="1" showInputMessage="1" showErrorMessage="1" sqref="C11:C42" xr:uid="{6D572CDC-22B4-4B4E-AB99-5C3B904F573C}">
      <formula1>"1,2,3,4,5,6,7"</formula1>
    </dataValidation>
  </dataValidation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79731-CCCB-3441-9010-30E0CA80BCEE}">
  <sheetPr>
    <tabColor theme="6" tint="-0.249977111117893"/>
  </sheetPr>
  <dimension ref="A1:AE44"/>
  <sheetViews>
    <sheetView workbookViewId="0">
      <selection activeCell="C11" sqref="C11"/>
    </sheetView>
  </sheetViews>
  <sheetFormatPr defaultColWidth="10.875" defaultRowHeight="19.5" x14ac:dyDescent="0.3"/>
  <cols>
    <col min="1" max="1" width="8.375" style="28" customWidth="1"/>
    <col min="2" max="2" width="106" style="28" customWidth="1"/>
    <col min="3" max="3" width="12.5" style="28" customWidth="1"/>
    <col min="4" max="5" width="10.875" style="28"/>
    <col min="6" max="6" width="54.125" style="28" customWidth="1"/>
    <col min="7" max="9" width="12.5" style="28" customWidth="1"/>
    <col min="10" max="10" width="82" style="28" bestFit="1" customWidth="1"/>
    <col min="11" max="11" width="50.5"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259" t="s">
        <v>28</v>
      </c>
      <c r="F3" s="130"/>
      <c r="G3" s="130"/>
      <c r="H3" s="130"/>
      <c r="I3" s="130"/>
      <c r="J3" s="130"/>
      <c r="AE3" s="61"/>
    </row>
    <row r="4" spans="1:31" x14ac:dyDescent="0.3">
      <c r="A4" s="257"/>
    </row>
    <row r="5" spans="1:31" x14ac:dyDescent="0.3">
      <c r="A5" s="131" t="s">
        <v>818</v>
      </c>
      <c r="B5" s="132"/>
      <c r="C5" s="132"/>
    </row>
    <row r="6" spans="1:31" s="133" customFormat="1" ht="35.1" customHeight="1" x14ac:dyDescent="0.25">
      <c r="A6" s="339" t="s">
        <v>249</v>
      </c>
      <c r="B6" s="340"/>
      <c r="C6" s="341"/>
      <c r="AE6" s="134"/>
    </row>
    <row r="7" spans="1:31" s="133" customFormat="1" x14ac:dyDescent="0.25">
      <c r="A7" s="342" t="s">
        <v>254</v>
      </c>
      <c r="B7" s="343"/>
      <c r="C7" s="344"/>
      <c r="AE7" s="134"/>
    </row>
    <row r="8" spans="1:31" ht="20.25" thickBot="1" x14ac:dyDescent="0.35"/>
    <row r="9" spans="1:31" x14ac:dyDescent="0.3">
      <c r="A9" s="138"/>
      <c r="B9" s="139"/>
      <c r="C9" s="140"/>
      <c r="F9" s="139" t="s">
        <v>132</v>
      </c>
      <c r="G9" s="141"/>
      <c r="H9" s="142" t="s">
        <v>310</v>
      </c>
      <c r="I9" s="143"/>
      <c r="J9" s="139"/>
      <c r="K9" s="139"/>
    </row>
    <row r="10" spans="1:31" ht="75" x14ac:dyDescent="0.3">
      <c r="A10" s="144" t="s">
        <v>1</v>
      </c>
      <c r="B10" s="260" t="s">
        <v>2</v>
      </c>
      <c r="C10" s="145" t="s">
        <v>820</v>
      </c>
      <c r="F10" s="146" t="s">
        <v>133</v>
      </c>
      <c r="G10" s="147" t="s">
        <v>134</v>
      </c>
      <c r="H10" s="147" t="s">
        <v>135</v>
      </c>
      <c r="I10" s="148" t="s">
        <v>317</v>
      </c>
      <c r="J10" s="146" t="s">
        <v>136</v>
      </c>
      <c r="K10" s="146" t="s">
        <v>1448</v>
      </c>
    </row>
    <row r="11" spans="1:31" s="33" customFormat="1" x14ac:dyDescent="0.25">
      <c r="A11" s="149">
        <v>1</v>
      </c>
      <c r="B11" s="33" t="s">
        <v>46</v>
      </c>
      <c r="C11" s="175"/>
      <c r="F11" s="150" t="s">
        <v>192</v>
      </c>
      <c r="G11" s="151" t="str" cm="1">
        <f t="array" ref="G11">IF(COUNTA(C$11:C$230)&gt;0,SUM(SUMIF(A$11:A$230,{2,8,14,20,26},C$11:C$230)),"")</f>
        <v/>
      </c>
      <c r="H11" s="152" t="str">
        <f ca="1">IF(G11="","",(G11-VLOOKUP(F11,INDIRECT($H$9),2, FALSE))/VLOOKUP(F11,INDIRECT($H$9),3, FALSE))</f>
        <v/>
      </c>
      <c r="I11" s="198" t="str" cm="1">
        <f t="array" aca="1" ref="I11" ca="1">_xlfn.IFS(H11="","",H11&lt;-1,"Low",AND(-1&lt;H11, H11&lt;1),"Average",H11&gt;1, "High")</f>
        <v/>
      </c>
      <c r="J11" s="154" t="s">
        <v>200</v>
      </c>
      <c r="K11" s="154" t="s">
        <v>1486</v>
      </c>
      <c r="AE11" s="62"/>
    </row>
    <row r="12" spans="1:31" s="33" customFormat="1" x14ac:dyDescent="0.25">
      <c r="A12" s="155">
        <v>2</v>
      </c>
      <c r="B12" s="156" t="s">
        <v>47</v>
      </c>
      <c r="C12" s="176"/>
      <c r="F12" s="157" t="s">
        <v>193</v>
      </c>
      <c r="G12" s="158" t="str" cm="1">
        <f t="array" ref="G12">IF(COUNTA(C$11:C$230)&gt;0,SUM(SUMIF(A$11:A$230,{6,12,18,24,30},C$11:C$230)),"")</f>
        <v/>
      </c>
      <c r="H12" s="159" t="str">
        <f t="shared" ref="H12:H18" ca="1" si="0">IF(G12="","",(G12-VLOOKUP(F12,INDIRECT($H$9),2, FALSE))/VLOOKUP(F12,INDIRECT($H$9),3, FALSE))</f>
        <v/>
      </c>
      <c r="I12" s="190" t="str" cm="1">
        <f t="array" aca="1" ref="I12" ca="1">_xlfn.IFS(H12="","",H12&lt;-1,"Low",AND(-1&lt;H12, H12&lt;1),"Average",H12&gt;1, "High")</f>
        <v/>
      </c>
      <c r="J12" s="161" t="s">
        <v>201</v>
      </c>
      <c r="K12" s="161" t="s">
        <v>1487</v>
      </c>
      <c r="AE12" s="62"/>
    </row>
    <row r="13" spans="1:31" s="33" customFormat="1" x14ac:dyDescent="0.25">
      <c r="A13" s="149">
        <v>3</v>
      </c>
      <c r="B13" s="33" t="s">
        <v>48</v>
      </c>
      <c r="C13" s="175"/>
      <c r="F13" s="157" t="s">
        <v>194</v>
      </c>
      <c r="G13" s="158" t="str" cm="1">
        <f t="array" ref="G13">IF(COUNTA(C$11:C$230)&gt;0,SUM(SUMIF(A$11:A$230,{4,10,16,22,28},C$11:C$230)),"")</f>
        <v/>
      </c>
      <c r="H13" s="159" t="str">
        <f t="shared" ca="1" si="0"/>
        <v/>
      </c>
      <c r="I13" s="190" t="str" cm="1">
        <f t="array" aca="1" ref="I13" ca="1">_xlfn.IFS(H13="","",H13&lt;-1,"Low",AND(-1&lt;H13, H13&lt;1),"Average",H13&gt;1, "High")</f>
        <v/>
      </c>
      <c r="J13" s="161" t="s">
        <v>202</v>
      </c>
      <c r="K13" s="161" t="s">
        <v>1488</v>
      </c>
      <c r="AE13" s="62"/>
    </row>
    <row r="14" spans="1:31" s="33" customFormat="1" x14ac:dyDescent="0.25">
      <c r="A14" s="155">
        <v>4</v>
      </c>
      <c r="B14" s="156" t="s">
        <v>49</v>
      </c>
      <c r="C14" s="176"/>
      <c r="F14" s="157" t="s">
        <v>195</v>
      </c>
      <c r="G14" s="158" t="str" cm="1">
        <f t="array" ref="G14">IF(COUNTA(C$11:C$230)&gt;0,SUM(SUMIF(A$11:A$230,{1,7,13,19,25},C$11:C$230)),"")</f>
        <v/>
      </c>
      <c r="H14" s="159" t="str">
        <f t="shared" ca="1" si="0"/>
        <v/>
      </c>
      <c r="I14" s="190" t="str" cm="1">
        <f t="array" aca="1" ref="I14" ca="1">_xlfn.IFS(H14="","",H14&lt;-1,"Low",AND(-1&lt;H14, H14&lt;1),"Average",H14&gt;1, "High")</f>
        <v/>
      </c>
      <c r="J14" s="161" t="s">
        <v>203</v>
      </c>
      <c r="K14" s="161" t="s">
        <v>1489</v>
      </c>
      <c r="AE14" s="62"/>
    </row>
    <row r="15" spans="1:31" s="33" customFormat="1" x14ac:dyDescent="0.25">
      <c r="A15" s="149">
        <v>5</v>
      </c>
      <c r="B15" s="33" t="s">
        <v>65</v>
      </c>
      <c r="C15" s="175"/>
      <c r="F15" s="157" t="s">
        <v>196</v>
      </c>
      <c r="G15" s="158" t="str" cm="1">
        <f t="array" ref="G15">IF(COUNTA(C$11:C$230)&gt;0,SUM(SUMIF(A$11:A$230,{5,11,17,23,29},C$11:C$230)),"")</f>
        <v/>
      </c>
      <c r="H15" s="159" t="str">
        <f t="shared" ca="1" si="0"/>
        <v/>
      </c>
      <c r="I15" s="190" t="str" cm="1">
        <f t="array" aca="1" ref="I15" ca="1">_xlfn.IFS(H15="","",H15&lt;-1,"Low",AND(-1&lt;H15, H15&lt;1),"Average",H15&gt;1, "High")</f>
        <v/>
      </c>
      <c r="J15" s="161" t="s">
        <v>204</v>
      </c>
      <c r="K15" s="161" t="s">
        <v>1490</v>
      </c>
      <c r="AE15" s="62"/>
    </row>
    <row r="16" spans="1:31" s="33" customFormat="1" x14ac:dyDescent="0.25">
      <c r="A16" s="155">
        <v>6</v>
      </c>
      <c r="B16" s="156" t="s">
        <v>51</v>
      </c>
      <c r="C16" s="176"/>
      <c r="F16" s="157" t="s">
        <v>197</v>
      </c>
      <c r="G16" s="158" t="str" cm="1">
        <f t="array" ref="G16">IF(COUNTA(C$11:C$230)&gt;0,SUM(SUMIF(A$11:A$230,{3,9,15,21,27},C$11:C$230)),"")</f>
        <v/>
      </c>
      <c r="H16" s="159" t="str">
        <f t="shared" ca="1" si="0"/>
        <v/>
      </c>
      <c r="I16" s="190" t="str" cm="1">
        <f t="array" aca="1" ref="I16" ca="1">_xlfn.IFS(H16="","",H16&lt;-1,"Low",AND(-1&lt;H16, H16&lt;1),"Average",H16&gt;1, "High")</f>
        <v/>
      </c>
      <c r="J16" s="161" t="s">
        <v>205</v>
      </c>
      <c r="K16" s="161" t="s">
        <v>1491</v>
      </c>
      <c r="AE16" s="62"/>
    </row>
    <row r="17" spans="1:31" s="33" customFormat="1" x14ac:dyDescent="0.25">
      <c r="A17" s="149">
        <v>7</v>
      </c>
      <c r="B17" s="33" t="s">
        <v>66</v>
      </c>
      <c r="C17" s="175"/>
      <c r="F17" s="224" t="s">
        <v>137</v>
      </c>
      <c r="G17" s="225"/>
      <c r="H17" s="226"/>
      <c r="I17" s="227"/>
      <c r="J17" s="228"/>
      <c r="K17" s="229" t="s">
        <v>1598</v>
      </c>
      <c r="AE17" s="62"/>
    </row>
    <row r="18" spans="1:31" s="33" customFormat="1" x14ac:dyDescent="0.25">
      <c r="A18" s="155">
        <v>8</v>
      </c>
      <c r="B18" s="156" t="s">
        <v>53</v>
      </c>
      <c r="C18" s="176"/>
      <c r="F18" s="157" t="s">
        <v>198</v>
      </c>
      <c r="G18" s="158" t="str" cm="1">
        <f t="array" ref="G18">IF(SUM(G$11:G$16)&gt;0,SUM(SUMIF(F$11:F$16,{"Negative-Activation","Negative-Intensity","Negative-Duration"},G$11:G$16)),"")</f>
        <v/>
      </c>
      <c r="H18" s="159" t="str">
        <f t="shared" ca="1" si="0"/>
        <v/>
      </c>
      <c r="I18" s="190" t="str" cm="1">
        <f t="array" aca="1" ref="I18" ca="1">_xlfn.IFS(H18="","",H18&lt;-1,"Low",AND(-1&lt;H18, H18&lt;1),"Average",H18&gt;1, "High")</f>
        <v/>
      </c>
      <c r="J18" s="161" t="s">
        <v>206</v>
      </c>
      <c r="K18" s="161" t="s">
        <v>1610</v>
      </c>
      <c r="AE18" s="62"/>
    </row>
    <row r="19" spans="1:31" s="33" customFormat="1" x14ac:dyDescent="0.25">
      <c r="A19" s="149">
        <v>9</v>
      </c>
      <c r="B19" s="33" t="s">
        <v>54</v>
      </c>
      <c r="C19" s="175"/>
      <c r="F19" s="162" t="s">
        <v>199</v>
      </c>
      <c r="G19" s="135" t="str" cm="1">
        <f t="array" ref="G19">IF(SUM(G$11:G$16)&gt;0,SUM(SUMIF(F$11:F$16,{"Positive-Activation","Positive-Intensity","Positive-Duration"},G$11:G$16)),"")</f>
        <v/>
      </c>
      <c r="H19" s="163" t="str">
        <f ca="1">IF(G19="","",(G19-VLOOKUP(F19,INDIRECT($H$9),2, FALSE))/VLOOKUP(F19,INDIRECT($H$9),3, FALSE))</f>
        <v/>
      </c>
      <c r="I19" s="137" t="str" cm="1">
        <f t="array" aca="1" ref="I19" ca="1">_xlfn.IFS(H19="","",H19&lt;-1,"Low",AND(-1&lt;H19, H19&lt;1),"Average",H19&gt;1, "High")</f>
        <v/>
      </c>
      <c r="J19" s="165" t="s">
        <v>207</v>
      </c>
      <c r="K19" s="165" t="s">
        <v>1611</v>
      </c>
      <c r="AE19" s="62"/>
    </row>
    <row r="20" spans="1:31" s="33" customFormat="1" x14ac:dyDescent="0.25">
      <c r="A20" s="155">
        <v>10</v>
      </c>
      <c r="B20" s="156" t="s">
        <v>67</v>
      </c>
      <c r="C20" s="176"/>
      <c r="AE20" s="62"/>
    </row>
    <row r="21" spans="1:31" s="33" customFormat="1" x14ac:dyDescent="0.25">
      <c r="A21" s="149">
        <v>11</v>
      </c>
      <c r="B21" s="33" t="s">
        <v>50</v>
      </c>
      <c r="C21" s="175"/>
      <c r="AE21" s="62"/>
    </row>
    <row r="22" spans="1:31" s="33" customFormat="1" ht="21" x14ac:dyDescent="0.25">
      <c r="A22" s="155">
        <v>12</v>
      </c>
      <c r="B22" s="156" t="s">
        <v>68</v>
      </c>
      <c r="C22" s="176"/>
      <c r="F22" s="253" t="s">
        <v>237</v>
      </c>
      <c r="G22" s="52"/>
      <c r="H22" s="52"/>
      <c r="I22" s="52"/>
      <c r="J22" s="52"/>
      <c r="K22" s="52"/>
      <c r="AE22" s="62"/>
    </row>
    <row r="23" spans="1:31" s="33" customFormat="1" x14ac:dyDescent="0.25">
      <c r="A23" s="149">
        <v>13</v>
      </c>
      <c r="B23" s="33" t="s">
        <v>69</v>
      </c>
      <c r="C23" s="175"/>
      <c r="F23" s="33" t="s">
        <v>244</v>
      </c>
      <c r="AE23" s="62"/>
    </row>
    <row r="24" spans="1:31" s="33" customFormat="1" x14ac:dyDescent="0.25">
      <c r="A24" s="155">
        <v>14</v>
      </c>
      <c r="B24" s="156" t="s">
        <v>70</v>
      </c>
      <c r="C24" s="176"/>
      <c r="AE24" s="62"/>
    </row>
    <row r="25" spans="1:31" s="33" customFormat="1" x14ac:dyDescent="0.25">
      <c r="A25" s="149">
        <v>15</v>
      </c>
      <c r="B25" s="33" t="s">
        <v>71</v>
      </c>
      <c r="C25" s="175"/>
      <c r="F25" s="51" t="s">
        <v>150</v>
      </c>
      <c r="AE25" s="62"/>
    </row>
    <row r="26" spans="1:31" s="33" customFormat="1" x14ac:dyDescent="0.25">
      <c r="A26" s="155">
        <v>16</v>
      </c>
      <c r="B26" s="156" t="s">
        <v>72</v>
      </c>
      <c r="C26" s="176"/>
      <c r="F26" s="101" t="s">
        <v>301</v>
      </c>
      <c r="G26" s="28"/>
      <c r="H26" s="28"/>
      <c r="I26" s="28"/>
      <c r="J26" s="28"/>
      <c r="K26" s="28"/>
      <c r="AE26" s="62"/>
    </row>
    <row r="27" spans="1:31" s="33" customFormat="1" x14ac:dyDescent="0.25">
      <c r="A27" s="149">
        <v>17</v>
      </c>
      <c r="B27" s="33" t="s">
        <v>73</v>
      </c>
      <c r="C27" s="175"/>
      <c r="F27" s="101" t="s">
        <v>302</v>
      </c>
      <c r="G27" s="28"/>
      <c r="H27" s="28"/>
      <c r="I27" s="28"/>
      <c r="J27" s="28"/>
      <c r="K27" s="28"/>
      <c r="AE27" s="62"/>
    </row>
    <row r="28" spans="1:31" s="33" customFormat="1" x14ac:dyDescent="0.25">
      <c r="A28" s="155">
        <v>18</v>
      </c>
      <c r="B28" s="156" t="s">
        <v>74</v>
      </c>
      <c r="C28" s="176"/>
      <c r="F28" s="101" t="s">
        <v>303</v>
      </c>
      <c r="G28" s="28"/>
      <c r="H28" s="28"/>
      <c r="I28" s="28"/>
      <c r="J28" s="28"/>
      <c r="K28" s="28"/>
      <c r="AE28" s="62"/>
    </row>
    <row r="29" spans="1:31" s="33" customFormat="1" x14ac:dyDescent="0.25">
      <c r="A29" s="149">
        <v>19</v>
      </c>
      <c r="B29" s="33" t="s">
        <v>75</v>
      </c>
      <c r="C29" s="175"/>
      <c r="AE29" s="62"/>
    </row>
    <row r="30" spans="1:31" s="33" customFormat="1" x14ac:dyDescent="0.25">
      <c r="A30" s="155">
        <v>20</v>
      </c>
      <c r="B30" s="156" t="s">
        <v>76</v>
      </c>
      <c r="C30" s="176"/>
      <c r="AE30" s="62"/>
    </row>
    <row r="31" spans="1:31" s="33" customFormat="1" x14ac:dyDescent="0.25">
      <c r="A31" s="149">
        <v>21</v>
      </c>
      <c r="B31" s="33" t="s">
        <v>77</v>
      </c>
      <c r="C31" s="175"/>
      <c r="AE31" s="62"/>
    </row>
    <row r="32" spans="1:31" s="33" customFormat="1" x14ac:dyDescent="0.25">
      <c r="A32" s="155">
        <v>22</v>
      </c>
      <c r="B32" s="156" t="s">
        <v>78</v>
      </c>
      <c r="C32" s="176"/>
      <c r="AE32" s="62"/>
    </row>
    <row r="33" spans="1:31" s="33" customFormat="1" x14ac:dyDescent="0.25">
      <c r="A33" s="149">
        <v>23</v>
      </c>
      <c r="B33" s="33" t="s">
        <v>79</v>
      </c>
      <c r="C33" s="175"/>
      <c r="AE33" s="62"/>
    </row>
    <row r="34" spans="1:31" s="33" customFormat="1" x14ac:dyDescent="0.25">
      <c r="A34" s="155">
        <v>24</v>
      </c>
      <c r="B34" s="156" t="s">
        <v>80</v>
      </c>
      <c r="C34" s="176"/>
      <c r="F34" s="28"/>
      <c r="G34" s="28"/>
      <c r="H34" s="28"/>
      <c r="I34" s="28"/>
      <c r="J34" s="28"/>
      <c r="K34" s="28"/>
      <c r="AE34" s="62"/>
    </row>
    <row r="35" spans="1:31" s="33" customFormat="1" x14ac:dyDescent="0.25">
      <c r="A35" s="149">
        <v>25</v>
      </c>
      <c r="B35" s="33" t="s">
        <v>81</v>
      </c>
      <c r="C35" s="175"/>
      <c r="F35" s="28"/>
      <c r="G35" s="28"/>
      <c r="H35" s="28"/>
      <c r="I35" s="28"/>
      <c r="J35" s="28"/>
      <c r="K35" s="28"/>
      <c r="AE35" s="62"/>
    </row>
    <row r="36" spans="1:31" s="33" customFormat="1" x14ac:dyDescent="0.25">
      <c r="A36" s="155">
        <v>26</v>
      </c>
      <c r="B36" s="156" t="s">
        <v>82</v>
      </c>
      <c r="C36" s="176"/>
      <c r="F36" s="28"/>
      <c r="G36" s="28"/>
      <c r="H36" s="28"/>
      <c r="I36" s="28"/>
      <c r="J36" s="28"/>
      <c r="K36" s="28"/>
      <c r="AE36" s="62"/>
    </row>
    <row r="37" spans="1:31" s="33" customFormat="1" x14ac:dyDescent="0.25">
      <c r="A37" s="149">
        <v>27</v>
      </c>
      <c r="B37" s="33" t="s">
        <v>83</v>
      </c>
      <c r="C37" s="175"/>
      <c r="F37" s="28"/>
      <c r="G37" s="28"/>
      <c r="H37" s="28"/>
      <c r="I37" s="28"/>
      <c r="J37" s="28"/>
      <c r="K37" s="28"/>
      <c r="AE37" s="62"/>
    </row>
    <row r="38" spans="1:31" x14ac:dyDescent="0.3">
      <c r="A38" s="155">
        <v>28</v>
      </c>
      <c r="B38" s="156" t="s">
        <v>84</v>
      </c>
      <c r="C38" s="176"/>
    </row>
    <row r="39" spans="1:31" x14ac:dyDescent="0.3">
      <c r="A39" s="149">
        <v>29</v>
      </c>
      <c r="B39" s="33" t="s">
        <v>85</v>
      </c>
      <c r="C39" s="175"/>
    </row>
    <row r="40" spans="1:31" ht="20.25" thickBot="1" x14ac:dyDescent="0.35">
      <c r="A40" s="173">
        <v>30</v>
      </c>
      <c r="B40" s="174" t="s">
        <v>86</v>
      </c>
      <c r="C40" s="177"/>
    </row>
    <row r="43" spans="1:31" x14ac:dyDescent="0.3">
      <c r="A43" s="131"/>
      <c r="B43" s="170" t="s">
        <v>797</v>
      </c>
      <c r="C43" s="131"/>
    </row>
    <row r="44" spans="1:31" ht="32.25" x14ac:dyDescent="0.3">
      <c r="B44" s="171" t="s">
        <v>846</v>
      </c>
    </row>
  </sheetData>
  <sheetProtection algorithmName="SHA-512" hashValue="U7B6uRbN/xCY/QgjDiAHXMKDt64oSWSTPv76bKrc6keas5BPFgDIzbpx8Uv1QA/VGoEKEdZipsJeVg6D/3N2qg==" saltValue="6TpWad6GmAvpMElWY6D6eg==" spinCount="100000" sheet="1" objects="1" scenarios="1"/>
  <mergeCells count="2">
    <mergeCell ref="A6:C6"/>
    <mergeCell ref="A7:C7"/>
  </mergeCells>
  <dataValidations count="1">
    <dataValidation type="list" allowBlank="1" showInputMessage="1" showErrorMessage="1" sqref="C11:C40" xr:uid="{E2112F8E-DE20-AF47-ABC1-60AE32A48BB5}">
      <formula1>"1,2,3,4,5"</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575E1-2129-CF40-A32E-1138861FB86F}">
  <sheetPr>
    <tabColor theme="6" tint="-0.249977111117893"/>
  </sheetPr>
  <dimension ref="A1:AE32"/>
  <sheetViews>
    <sheetView workbookViewId="0">
      <selection activeCell="C11" sqref="C11"/>
    </sheetView>
  </sheetViews>
  <sheetFormatPr defaultColWidth="10.875" defaultRowHeight="19.5" x14ac:dyDescent="0.3"/>
  <cols>
    <col min="1" max="1" width="8.375" style="28" customWidth="1"/>
    <col min="2" max="2" width="106" style="28" customWidth="1"/>
    <col min="3" max="3" width="12.5" style="28" customWidth="1"/>
    <col min="4" max="5" width="10.875" style="28"/>
    <col min="6" max="6" width="54.125" style="28" customWidth="1"/>
    <col min="7" max="9" width="12.5" style="28" customWidth="1"/>
    <col min="10" max="10" width="82" style="28" bestFit="1" customWidth="1"/>
    <col min="11" max="11" width="50.5"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60" t="s">
        <v>64</v>
      </c>
      <c r="F3" s="130"/>
      <c r="G3" s="130"/>
      <c r="H3" s="130"/>
      <c r="I3" s="130"/>
      <c r="J3" s="130"/>
      <c r="AE3" s="61"/>
    </row>
    <row r="4" spans="1:31" x14ac:dyDescent="0.3">
      <c r="A4" s="257"/>
    </row>
    <row r="5" spans="1:31" x14ac:dyDescent="0.3">
      <c r="A5" s="131" t="s">
        <v>818</v>
      </c>
      <c r="B5" s="132"/>
      <c r="C5" s="132"/>
    </row>
    <row r="6" spans="1:31" ht="35.1" customHeight="1" x14ac:dyDescent="0.3">
      <c r="A6" s="366" t="s">
        <v>249</v>
      </c>
      <c r="B6" s="367"/>
      <c r="C6" s="368"/>
    </row>
    <row r="7" spans="1:31" x14ac:dyDescent="0.3">
      <c r="A7" s="342" t="s">
        <v>254</v>
      </c>
      <c r="B7" s="343"/>
      <c r="C7" s="344"/>
    </row>
    <row r="8" spans="1:31" ht="20.25" thickBot="1" x14ac:dyDescent="0.35"/>
    <row r="9" spans="1:31" x14ac:dyDescent="0.3">
      <c r="A9" s="138"/>
      <c r="B9" s="139"/>
      <c r="C9" s="140"/>
      <c r="F9" s="139" t="s">
        <v>132</v>
      </c>
      <c r="G9" s="141"/>
      <c r="H9" s="142" t="s">
        <v>360</v>
      </c>
      <c r="I9" s="143"/>
      <c r="J9" s="139"/>
      <c r="K9" s="139"/>
    </row>
    <row r="10" spans="1:31" ht="75" x14ac:dyDescent="0.3">
      <c r="A10" s="144" t="s">
        <v>1</v>
      </c>
      <c r="B10" s="260" t="s">
        <v>2</v>
      </c>
      <c r="C10" s="145" t="s">
        <v>820</v>
      </c>
      <c r="F10" s="146" t="s">
        <v>133</v>
      </c>
      <c r="G10" s="147" t="s">
        <v>134</v>
      </c>
      <c r="H10" s="147" t="s">
        <v>135</v>
      </c>
      <c r="I10" s="148" t="s">
        <v>317</v>
      </c>
      <c r="J10" s="146" t="s">
        <v>136</v>
      </c>
      <c r="K10" s="146" t="s">
        <v>1448</v>
      </c>
    </row>
    <row r="11" spans="1:31" s="33" customFormat="1" x14ac:dyDescent="0.25">
      <c r="A11" s="149">
        <v>1</v>
      </c>
      <c r="B11" s="33" t="s">
        <v>46</v>
      </c>
      <c r="C11" s="175"/>
      <c r="F11" s="150" t="s">
        <v>192</v>
      </c>
      <c r="G11" s="151" t="str" cm="1">
        <f t="array" ref="G11">IF(COUNTA(C$11:C$230)&gt;0,SUM(SUMIF(A$11:A$230,{2,8,14},C$11:C$230)),"")</f>
        <v/>
      </c>
      <c r="H11" s="152" t="str">
        <f ca="1">IF(G11="","",(G11-VLOOKUP(F11,INDIRECT($H$9),2, FALSE))/VLOOKUP(F11,INDIRECT($H$9),3, FALSE))</f>
        <v/>
      </c>
      <c r="I11" s="198" t="str" cm="1">
        <f t="array" aca="1" ref="I11" ca="1">_xlfn.IFS(H11="","",H11&lt;-1,"Low",AND(-1&lt;H11, H11&lt;1),"Average",H11&gt;1, "High")</f>
        <v/>
      </c>
      <c r="J11" s="154" t="s">
        <v>200</v>
      </c>
      <c r="K11" s="154" t="s">
        <v>1492</v>
      </c>
      <c r="AE11" s="62"/>
    </row>
    <row r="12" spans="1:31" s="33" customFormat="1" x14ac:dyDescent="0.25">
      <c r="A12" s="155">
        <v>2</v>
      </c>
      <c r="B12" s="156" t="s">
        <v>47</v>
      </c>
      <c r="C12" s="176"/>
      <c r="F12" s="157" t="s">
        <v>193</v>
      </c>
      <c r="G12" s="158" t="str" cm="1">
        <f t="array" ref="G12">IF(COUNTA(C$11:C$230)&gt;0,SUM(SUMIF(A$11:A$230,{6,12,18},C$11:C$230)),"")</f>
        <v/>
      </c>
      <c r="H12" s="159" t="str">
        <f t="shared" ref="H12:H19" ca="1" si="0">IF(G12="","",(G12-VLOOKUP(F12,INDIRECT($H$9),2, FALSE))/VLOOKUP(F12,INDIRECT($H$9),3, FALSE))</f>
        <v/>
      </c>
      <c r="I12" s="190" t="str" cm="1">
        <f t="array" aca="1" ref="I12" ca="1">_xlfn.IFS(H12="","",H12&lt;-1,"Low",AND(-1&lt;H12, H12&lt;1),"Average",H12&gt;1, "High")</f>
        <v/>
      </c>
      <c r="J12" s="161" t="s">
        <v>201</v>
      </c>
      <c r="K12" s="161" t="s">
        <v>1493</v>
      </c>
      <c r="AE12" s="62"/>
    </row>
    <row r="13" spans="1:31" s="33" customFormat="1" x14ac:dyDescent="0.25">
      <c r="A13" s="149">
        <v>3</v>
      </c>
      <c r="B13" s="33" t="s">
        <v>48</v>
      </c>
      <c r="C13" s="175"/>
      <c r="F13" s="157" t="s">
        <v>194</v>
      </c>
      <c r="G13" s="158" t="str" cm="1">
        <f t="array" ref="G13">IF(COUNTA(C$11:C$230)&gt;0,SUM(SUMIF(A$11:A$230,{4,10,16},C$11:C$230)),"")</f>
        <v/>
      </c>
      <c r="H13" s="159" t="str">
        <f t="shared" ca="1" si="0"/>
        <v/>
      </c>
      <c r="I13" s="190" t="str" cm="1">
        <f t="array" aca="1" ref="I13" ca="1">_xlfn.IFS(H13="","",H13&lt;-1,"Low",AND(-1&lt;H13, H13&lt;1),"Average",H13&gt;1, "High")</f>
        <v/>
      </c>
      <c r="J13" s="161" t="s">
        <v>202</v>
      </c>
      <c r="K13" s="161" t="s">
        <v>1494</v>
      </c>
      <c r="AE13" s="62"/>
    </row>
    <row r="14" spans="1:31" s="33" customFormat="1" x14ac:dyDescent="0.25">
      <c r="A14" s="155">
        <v>4</v>
      </c>
      <c r="B14" s="156" t="s">
        <v>49</v>
      </c>
      <c r="C14" s="176"/>
      <c r="F14" s="157" t="s">
        <v>195</v>
      </c>
      <c r="G14" s="158" t="str" cm="1">
        <f t="array" ref="G14">IF(COUNTA(C$11:C$230)&gt;0,SUM(SUMIF(A$11:A$230,{1,7,13},C$11:C$230)),"")</f>
        <v/>
      </c>
      <c r="H14" s="159" t="str">
        <f t="shared" ca="1" si="0"/>
        <v/>
      </c>
      <c r="I14" s="190" t="str" cm="1">
        <f t="array" aca="1" ref="I14" ca="1">_xlfn.IFS(H14="","",H14&lt;-1,"Low",AND(-1&lt;H14, H14&lt;1),"Average",H14&gt;1, "High")</f>
        <v/>
      </c>
      <c r="J14" s="161" t="s">
        <v>203</v>
      </c>
      <c r="K14" s="161" t="s">
        <v>1495</v>
      </c>
      <c r="AE14" s="62"/>
    </row>
    <row r="15" spans="1:31" s="33" customFormat="1" x14ac:dyDescent="0.25">
      <c r="A15" s="149">
        <v>5</v>
      </c>
      <c r="B15" s="33" t="s">
        <v>50</v>
      </c>
      <c r="C15" s="175"/>
      <c r="F15" s="157" t="s">
        <v>196</v>
      </c>
      <c r="G15" s="158" t="str" cm="1">
        <f t="array" ref="G15">IF(COUNTA(C$11:C$230)&gt;0,SUM(SUMIF(A$11:A$230,{5,11,17},C$11:C$230)),"")</f>
        <v/>
      </c>
      <c r="H15" s="159" t="str">
        <f t="shared" ca="1" si="0"/>
        <v/>
      </c>
      <c r="I15" s="190" t="str" cm="1">
        <f t="array" aca="1" ref="I15" ca="1">_xlfn.IFS(H15="","",H15&lt;-1,"Low",AND(-1&lt;H15, H15&lt;1),"Average",H15&gt;1, "High")</f>
        <v/>
      </c>
      <c r="J15" s="161" t="s">
        <v>204</v>
      </c>
      <c r="K15" s="161" t="s">
        <v>1496</v>
      </c>
      <c r="AE15" s="62"/>
    </row>
    <row r="16" spans="1:31" s="33" customFormat="1" x14ac:dyDescent="0.25">
      <c r="A16" s="155">
        <v>6</v>
      </c>
      <c r="B16" s="156" t="s">
        <v>51</v>
      </c>
      <c r="C16" s="176"/>
      <c r="F16" s="157" t="s">
        <v>197</v>
      </c>
      <c r="G16" s="158" t="str" cm="1">
        <f t="array" ref="G16">IF(COUNTA(C$11:C$230)&gt;0,SUM(SUMIF(A$11:A$230,{3,9,15},C$11:C$230)),"")</f>
        <v/>
      </c>
      <c r="H16" s="159" t="str">
        <f t="shared" ca="1" si="0"/>
        <v/>
      </c>
      <c r="I16" s="190" t="str" cm="1">
        <f t="array" aca="1" ref="I16" ca="1">_xlfn.IFS(H16="","",H16&lt;-1,"Low",AND(-1&lt;H16, H16&lt;1),"Average",H16&gt;1, "High")</f>
        <v/>
      </c>
      <c r="J16" s="161" t="s">
        <v>205</v>
      </c>
      <c r="K16" s="161" t="s">
        <v>1497</v>
      </c>
      <c r="AE16" s="62"/>
    </row>
    <row r="17" spans="1:31" s="33" customFormat="1" x14ac:dyDescent="0.25">
      <c r="A17" s="149">
        <v>7</v>
      </c>
      <c r="B17" s="33" t="s">
        <v>52</v>
      </c>
      <c r="C17" s="175"/>
      <c r="F17" s="224" t="s">
        <v>137</v>
      </c>
      <c r="G17" s="225"/>
      <c r="H17" s="226"/>
      <c r="I17" s="227"/>
      <c r="J17" s="228"/>
      <c r="K17" s="229" t="s">
        <v>1598</v>
      </c>
      <c r="AE17" s="62"/>
    </row>
    <row r="18" spans="1:31" s="33" customFormat="1" x14ac:dyDescent="0.25">
      <c r="A18" s="155">
        <v>8</v>
      </c>
      <c r="B18" s="156" t="s">
        <v>53</v>
      </c>
      <c r="C18" s="176"/>
      <c r="F18" s="157" t="s">
        <v>198</v>
      </c>
      <c r="G18" s="158" t="str" cm="1">
        <f t="array" ref="G18">IF(SUM(G$11:G$16)&gt;0,SUM(SUMIF(F$11:F$16,{"Negative-Activation","Negative-Intensity","Negative-Duration"},G$11:G$16)),"")</f>
        <v/>
      </c>
      <c r="H18" s="159" t="str">
        <f t="shared" ca="1" si="0"/>
        <v/>
      </c>
      <c r="I18" s="190" t="str" cm="1">
        <f t="array" aca="1" ref="I18" ca="1">_xlfn.IFS(H18="","",H18&lt;-1,"Low",AND(-1&lt;H18, H18&lt;1),"Average",H18&gt;1, "High")</f>
        <v/>
      </c>
      <c r="J18" s="161" t="s">
        <v>206</v>
      </c>
      <c r="K18" s="161" t="s">
        <v>1610</v>
      </c>
      <c r="AE18" s="62"/>
    </row>
    <row r="19" spans="1:31" s="33" customFormat="1" x14ac:dyDescent="0.25">
      <c r="A19" s="149">
        <v>9</v>
      </c>
      <c r="B19" s="33" t="s">
        <v>54</v>
      </c>
      <c r="C19" s="175"/>
      <c r="F19" s="162" t="s">
        <v>199</v>
      </c>
      <c r="G19" s="135" t="str" cm="1">
        <f t="array" ref="G19">IF(SUM(G$11:G$16)&gt;0,SUM(SUMIF(F$11:F$16,{"Positive-Activation","Positive-Intensity","Positive-Duration"},G$11:G$16)),"")</f>
        <v/>
      </c>
      <c r="H19" s="163" t="str">
        <f t="shared" ca="1" si="0"/>
        <v/>
      </c>
      <c r="I19" s="137" t="str" cm="1">
        <f t="array" aca="1" ref="I19" ca="1">_xlfn.IFS(H19="","",H19&lt;-1,"Low",AND(-1&lt;H19, H19&lt;1),"Average",H19&gt;1, "High")</f>
        <v/>
      </c>
      <c r="J19" s="165" t="s">
        <v>207</v>
      </c>
      <c r="K19" s="165" t="s">
        <v>1611</v>
      </c>
      <c r="AE19" s="62"/>
    </row>
    <row r="20" spans="1:31" s="33" customFormat="1" x14ac:dyDescent="0.25">
      <c r="A20" s="155">
        <v>10</v>
      </c>
      <c r="B20" s="156" t="s">
        <v>55</v>
      </c>
      <c r="C20" s="176"/>
      <c r="F20" s="28"/>
      <c r="G20" s="28"/>
      <c r="H20" s="28"/>
      <c r="I20" s="28"/>
      <c r="J20" s="28"/>
      <c r="K20" s="28"/>
      <c r="AE20" s="62"/>
    </row>
    <row r="21" spans="1:31" s="33" customFormat="1" x14ac:dyDescent="0.25">
      <c r="A21" s="149">
        <v>11</v>
      </c>
      <c r="B21" s="33" t="s">
        <v>56</v>
      </c>
      <c r="C21" s="175"/>
      <c r="F21" s="28"/>
      <c r="G21" s="28"/>
      <c r="H21" s="28"/>
      <c r="I21" s="28"/>
      <c r="J21" s="28"/>
      <c r="K21" s="28"/>
      <c r="AE21" s="62"/>
    </row>
    <row r="22" spans="1:31" s="33" customFormat="1" ht="21" x14ac:dyDescent="0.35">
      <c r="A22" s="155">
        <v>12</v>
      </c>
      <c r="B22" s="156" t="s">
        <v>57</v>
      </c>
      <c r="C22" s="176"/>
      <c r="F22" s="166" t="s">
        <v>237</v>
      </c>
      <c r="G22" s="132"/>
      <c r="H22" s="132"/>
      <c r="I22" s="132"/>
      <c r="J22" s="132"/>
      <c r="K22" s="132"/>
      <c r="AE22" s="62"/>
    </row>
    <row r="23" spans="1:31" s="33" customFormat="1" x14ac:dyDescent="0.25">
      <c r="A23" s="149">
        <v>13</v>
      </c>
      <c r="B23" s="33" t="s">
        <v>58</v>
      </c>
      <c r="C23" s="175"/>
      <c r="F23" s="33" t="s">
        <v>244</v>
      </c>
      <c r="AE23" s="62"/>
    </row>
    <row r="24" spans="1:31" s="33" customFormat="1" x14ac:dyDescent="0.25">
      <c r="A24" s="155">
        <v>14</v>
      </c>
      <c r="B24" s="156" t="s">
        <v>59</v>
      </c>
      <c r="C24" s="176"/>
      <c r="F24" s="28"/>
      <c r="G24" s="28"/>
      <c r="H24" s="28"/>
      <c r="I24" s="28"/>
      <c r="J24" s="28"/>
      <c r="K24" s="28"/>
      <c r="AE24" s="62"/>
    </row>
    <row r="25" spans="1:31" s="33" customFormat="1" x14ac:dyDescent="0.25">
      <c r="A25" s="149">
        <v>15</v>
      </c>
      <c r="B25" s="33" t="s">
        <v>60</v>
      </c>
      <c r="C25" s="175"/>
      <c r="F25" s="51" t="s">
        <v>150</v>
      </c>
      <c r="G25" s="28"/>
      <c r="H25" s="28"/>
      <c r="I25" s="28"/>
      <c r="J25" s="28"/>
      <c r="K25" s="28"/>
      <c r="AE25" s="62"/>
    </row>
    <row r="26" spans="1:31" s="33" customFormat="1" x14ac:dyDescent="0.25">
      <c r="A26" s="155">
        <v>16</v>
      </c>
      <c r="B26" s="156" t="s">
        <v>61</v>
      </c>
      <c r="C26" s="176"/>
      <c r="F26" s="261" t="s">
        <v>301</v>
      </c>
      <c r="G26" s="186"/>
      <c r="H26" s="186"/>
      <c r="I26" s="186"/>
      <c r="J26" s="186"/>
      <c r="K26" s="186"/>
      <c r="AE26" s="62"/>
    </row>
    <row r="27" spans="1:31" s="33" customFormat="1" x14ac:dyDescent="0.25">
      <c r="A27" s="149">
        <v>17</v>
      </c>
      <c r="B27" s="33" t="s">
        <v>62</v>
      </c>
      <c r="C27" s="175"/>
      <c r="F27" s="101" t="s">
        <v>302</v>
      </c>
      <c r="G27" s="28"/>
      <c r="H27" s="28"/>
      <c r="I27" s="28"/>
      <c r="J27" s="28"/>
      <c r="K27" s="28"/>
      <c r="AE27" s="62"/>
    </row>
    <row r="28" spans="1:31" s="33" customFormat="1" ht="20.25" thickBot="1" x14ac:dyDescent="0.3">
      <c r="A28" s="173">
        <v>18</v>
      </c>
      <c r="B28" s="174" t="s">
        <v>63</v>
      </c>
      <c r="C28" s="177"/>
      <c r="F28" s="101" t="s">
        <v>303</v>
      </c>
      <c r="G28" s="28"/>
      <c r="H28" s="28"/>
      <c r="I28" s="28"/>
      <c r="J28" s="28"/>
      <c r="K28" s="28"/>
      <c r="AE28" s="62"/>
    </row>
    <row r="31" spans="1:31" x14ac:dyDescent="0.3">
      <c r="A31" s="131"/>
      <c r="B31" s="170" t="s">
        <v>797</v>
      </c>
      <c r="C31" s="131"/>
    </row>
    <row r="32" spans="1:31" s="186" customFormat="1" ht="32.25" x14ac:dyDescent="0.3">
      <c r="B32" s="171" t="s">
        <v>845</v>
      </c>
      <c r="AE32" s="252"/>
    </row>
  </sheetData>
  <sheetProtection algorithmName="SHA-512" hashValue="2asOOHucnMqL2mECCI2rKyhT/TPhIu3Kb6DDw9wRQnx26I4l9o4pKeiqHqkAC5LpnA8/+KOFrcK6Fb3IGIJLvw==" saltValue="77Ah9oMR+SuEc/yMO0LnYQ==" spinCount="100000" sheet="1" objects="1" scenarios="1"/>
  <mergeCells count="2">
    <mergeCell ref="A6:C6"/>
    <mergeCell ref="A7:C7"/>
  </mergeCells>
  <dataValidations count="1">
    <dataValidation type="list" allowBlank="1" showInputMessage="1" showErrorMessage="1" sqref="C11:C28" xr:uid="{536B2185-B56A-3C47-B6E2-98E10EAF9A2F}">
      <formula1>"1,2,3,4,5"</formula1>
    </dataValidation>
  </dataValidation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EFE3D-AF4D-B34B-B439-4718C8D7297F}">
  <sheetPr>
    <tabColor theme="6" tint="-0.249977111117893"/>
  </sheetPr>
  <dimension ref="A1:AE34"/>
  <sheetViews>
    <sheetView workbookViewId="0">
      <selection activeCell="C11" sqref="C11"/>
    </sheetView>
  </sheetViews>
  <sheetFormatPr defaultColWidth="10.875" defaultRowHeight="19.5" x14ac:dyDescent="0.3"/>
  <cols>
    <col min="1" max="1" width="8.375" style="28" customWidth="1"/>
    <col min="2" max="2" width="106" style="28" customWidth="1"/>
    <col min="3" max="3" width="12.5" style="28" customWidth="1"/>
    <col min="4" max="5" width="10.875" style="28"/>
    <col min="6" max="6" width="54.125" style="28" customWidth="1"/>
    <col min="7" max="9" width="12.5" style="28" customWidth="1"/>
    <col min="10" max="10" width="127.875" style="28" bestFit="1" customWidth="1"/>
    <col min="11" max="11" width="76.875"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172" t="s">
        <v>29</v>
      </c>
      <c r="F3" s="130"/>
      <c r="G3" s="130"/>
      <c r="H3" s="130"/>
      <c r="I3" s="130"/>
      <c r="J3" s="130"/>
      <c r="AE3" s="61"/>
    </row>
    <row r="5" spans="1:31" x14ac:dyDescent="0.3">
      <c r="A5" s="131" t="s">
        <v>818</v>
      </c>
      <c r="B5" s="132"/>
      <c r="C5" s="132"/>
    </row>
    <row r="6" spans="1:31" s="133" customFormat="1" ht="51" customHeight="1" x14ac:dyDescent="0.25">
      <c r="A6" s="339" t="s">
        <v>253</v>
      </c>
      <c r="B6" s="340"/>
      <c r="C6" s="341"/>
      <c r="AE6" s="134"/>
    </row>
    <row r="7" spans="1:31" s="133" customFormat="1" x14ac:dyDescent="0.25">
      <c r="A7" s="342" t="s">
        <v>255</v>
      </c>
      <c r="B7" s="343"/>
      <c r="C7" s="344"/>
      <c r="AE7" s="134"/>
    </row>
    <row r="8" spans="1:31" ht="20.25" thickBot="1" x14ac:dyDescent="0.35"/>
    <row r="9" spans="1:31" x14ac:dyDescent="0.3">
      <c r="A9" s="138"/>
      <c r="B9" s="139"/>
      <c r="C9" s="140"/>
      <c r="F9" s="139" t="s">
        <v>132</v>
      </c>
      <c r="G9" s="141"/>
      <c r="H9" s="142" t="s">
        <v>126</v>
      </c>
      <c r="I9" s="143"/>
      <c r="J9" s="139"/>
      <c r="K9" s="139"/>
    </row>
    <row r="10" spans="1:31" ht="75" x14ac:dyDescent="0.3">
      <c r="A10" s="144" t="s">
        <v>1</v>
      </c>
      <c r="B10" s="144" t="s">
        <v>2</v>
      </c>
      <c r="C10" s="145" t="s">
        <v>819</v>
      </c>
      <c r="F10" s="146" t="s">
        <v>133</v>
      </c>
      <c r="G10" s="147" t="s">
        <v>134</v>
      </c>
      <c r="H10" s="147" t="s">
        <v>135</v>
      </c>
      <c r="I10" s="148" t="s">
        <v>317</v>
      </c>
      <c r="J10" s="146" t="s">
        <v>136</v>
      </c>
      <c r="K10" s="146" t="s">
        <v>1448</v>
      </c>
    </row>
    <row r="11" spans="1:31" s="33" customFormat="1" x14ac:dyDescent="0.25">
      <c r="A11" s="149">
        <v>1</v>
      </c>
      <c r="B11" s="33" t="s">
        <v>30</v>
      </c>
      <c r="C11" s="175"/>
      <c r="F11" s="150" t="s">
        <v>208</v>
      </c>
      <c r="G11" s="151" t="str" cm="1">
        <f t="array" ref="G11">IF(COUNTA(C$11:C$230)&gt;0,SUM(SUMIF(A$11:A$230,{1,5,9,13},C$11:C$230)),"")</f>
        <v/>
      </c>
      <c r="H11" s="152" t="str">
        <f ca="1">IF(G11="","",(G11-VLOOKUP(F11,INDIRECT($H$9),2, FALSE))/VLOOKUP(F11,INDIRECT($H$9),3, FALSE))</f>
        <v/>
      </c>
      <c r="I11" s="198" t="str" cm="1">
        <f t="array" aca="1" ref="I11" ca="1">_xlfn.IFS(H11="","",H11&lt;-1,"Low",AND(-1&lt;H11, H11&lt;1),"Average",H11&gt;1, "High")</f>
        <v/>
      </c>
      <c r="J11" s="154" t="s">
        <v>214</v>
      </c>
      <c r="K11" s="154" t="s">
        <v>1478</v>
      </c>
      <c r="AE11" s="62"/>
    </row>
    <row r="12" spans="1:31" s="33" customFormat="1" x14ac:dyDescent="0.25">
      <c r="A12" s="155">
        <v>2</v>
      </c>
      <c r="B12" s="156" t="s">
        <v>31</v>
      </c>
      <c r="C12" s="176"/>
      <c r="F12" s="157" t="s">
        <v>209</v>
      </c>
      <c r="G12" s="158" t="str" cm="1">
        <f t="array" ref="G12">IF(COUNTA(C$11:C$230)&gt;0,SUM(SUMIF(A$11:A$230,{2,6,10,14},C$11:C$230)),"")</f>
        <v/>
      </c>
      <c r="H12" s="159" t="str">
        <f t="shared" ref="H12:H18" ca="1" si="0">IF(G12="","",(G12-VLOOKUP(F12,INDIRECT($H$9),2, FALSE))/VLOOKUP(F12,INDIRECT($H$9),3, FALSE))</f>
        <v/>
      </c>
      <c r="I12" s="190" t="str" cm="1">
        <f t="array" aca="1" ref="I12" ca="1">_xlfn.IFS(H12="","",H12&lt;-1,"Low",AND(-1&lt;H12, H12&lt;1),"Average",H12&gt;1, "High")</f>
        <v/>
      </c>
      <c r="J12" s="161" t="s">
        <v>215</v>
      </c>
      <c r="K12" s="161" t="s">
        <v>1480</v>
      </c>
      <c r="AE12" s="62"/>
    </row>
    <row r="13" spans="1:31" s="33" customFormat="1" x14ac:dyDescent="0.25">
      <c r="A13" s="149">
        <v>3</v>
      </c>
      <c r="B13" s="33" t="s">
        <v>32</v>
      </c>
      <c r="C13" s="175"/>
      <c r="F13" s="157" t="s">
        <v>210</v>
      </c>
      <c r="G13" s="158" t="str" cm="1">
        <f t="array" ref="G13">IF(COUNTA(C$11:C$230)&gt;0,SUM(SUMIF(A$11:A$230,{3,7,11,15},C$11:C$230)),"")</f>
        <v/>
      </c>
      <c r="H13" s="159" t="str">
        <f t="shared" ca="1" si="0"/>
        <v/>
      </c>
      <c r="I13" s="190" t="str" cm="1">
        <f t="array" aca="1" ref="I13" ca="1">_xlfn.IFS(H13="","",H13&lt;-1,"Low",AND(-1&lt;H13, H13&lt;1),"Average",H13&gt;1, "High")</f>
        <v/>
      </c>
      <c r="J13" s="161" t="s">
        <v>216</v>
      </c>
      <c r="K13" s="161" t="s">
        <v>1479</v>
      </c>
      <c r="AE13" s="62"/>
    </row>
    <row r="14" spans="1:31" s="33" customFormat="1" x14ac:dyDescent="0.25">
      <c r="A14" s="155">
        <v>4</v>
      </c>
      <c r="B14" s="156" t="s">
        <v>33</v>
      </c>
      <c r="C14" s="176"/>
      <c r="F14" s="157" t="s">
        <v>211</v>
      </c>
      <c r="G14" s="158" t="str" cm="1">
        <f t="array" ref="G14">IF(COUNTA(C$11:C$230)&gt;0,SUM(SUMIF(A$11:A$230,{4,8,12,16},C$11:C$230)),"")</f>
        <v/>
      </c>
      <c r="H14" s="159" t="str">
        <f t="shared" ca="1" si="0"/>
        <v/>
      </c>
      <c r="I14" s="190" t="str" cm="1">
        <f t="array" aca="1" ref="I14" ca="1">_xlfn.IFS(H14="","",H14&lt;-1,"Low",AND(-1&lt;H14, H14&lt;1),"Average",H14&gt;1, "High")</f>
        <v/>
      </c>
      <c r="J14" s="161" t="s">
        <v>217</v>
      </c>
      <c r="K14" s="161" t="s">
        <v>1481</v>
      </c>
      <c r="AE14" s="62"/>
    </row>
    <row r="15" spans="1:31" s="33" customFormat="1" x14ac:dyDescent="0.25">
      <c r="A15" s="149">
        <v>5</v>
      </c>
      <c r="B15" s="33" t="s">
        <v>34</v>
      </c>
      <c r="C15" s="175"/>
      <c r="F15" s="224" t="s">
        <v>137</v>
      </c>
      <c r="G15" s="225"/>
      <c r="H15" s="226"/>
      <c r="I15" s="227"/>
      <c r="J15" s="228"/>
      <c r="K15" s="229" t="s">
        <v>1598</v>
      </c>
      <c r="AE15" s="62"/>
    </row>
    <row r="16" spans="1:31" s="33" customFormat="1" x14ac:dyDescent="0.25">
      <c r="A16" s="155">
        <v>6</v>
      </c>
      <c r="B16" s="156" t="s">
        <v>35</v>
      </c>
      <c r="C16" s="176"/>
      <c r="F16" s="157" t="s">
        <v>212</v>
      </c>
      <c r="G16" s="158" t="str" cm="1">
        <f t="array" ref="G16">IF(SUM(G$11:G$14)&gt;0,SUM(SUMIF(F$11:F$14,{"Negative-Controllability","Positive-Controllability"},G$11:G$14)),"")</f>
        <v/>
      </c>
      <c r="H16" s="159" t="str">
        <f ca="1">IF(G16="","",(G16-VLOOKUP(F16,INDIRECT($H$9),2, FALSE))/VLOOKUP(F16,INDIRECT($H$9),3, FALSE))</f>
        <v/>
      </c>
      <c r="I16" s="190" t="str" cm="1">
        <f t="array" aca="1" ref="I16" ca="1">_xlfn.IFS(H16="","",H16&lt;-1,"Low",AND(-1&lt;H16, H16&lt;1),"Average",H16&gt;1, "High")</f>
        <v/>
      </c>
      <c r="J16" s="161" t="s">
        <v>218</v>
      </c>
      <c r="K16" s="161" t="s">
        <v>1612</v>
      </c>
      <c r="AE16" s="62"/>
    </row>
    <row r="17" spans="1:31" s="33" customFormat="1" x14ac:dyDescent="0.25">
      <c r="A17" s="149">
        <v>7</v>
      </c>
      <c r="B17" s="33" t="s">
        <v>36</v>
      </c>
      <c r="C17" s="175"/>
      <c r="F17" s="157" t="s">
        <v>213</v>
      </c>
      <c r="G17" s="158" t="str" cm="1">
        <f t="array" ref="G17">IF(SUM(G$11:G$14)&gt;0,SUM(SUMIF(F$11:F$14,{"Negative-Usefulness","Positive-Usefulness"},G$11:G$14)),"")</f>
        <v/>
      </c>
      <c r="H17" s="159" t="str">
        <f t="shared" ca="1" si="0"/>
        <v/>
      </c>
      <c r="I17" s="190" t="str" cm="1">
        <f t="array" aca="1" ref="I17" ca="1">_xlfn.IFS(H17="","",H17&lt;-1,"Low",AND(-1&lt;H17, H17&lt;1),"Average",H17&gt;1, "High")</f>
        <v/>
      </c>
      <c r="J17" s="161" t="s">
        <v>219</v>
      </c>
      <c r="K17" s="161" t="s">
        <v>1613</v>
      </c>
      <c r="AE17" s="62"/>
    </row>
    <row r="18" spans="1:31" s="33" customFormat="1" x14ac:dyDescent="0.25">
      <c r="A18" s="155">
        <v>8</v>
      </c>
      <c r="B18" s="156" t="s">
        <v>37</v>
      </c>
      <c r="C18" s="176"/>
      <c r="F18" s="162" t="s">
        <v>165</v>
      </c>
      <c r="G18" s="135" t="str" cm="1">
        <f t="array" ref="G18">IF(SUM(G$11:G$14)&gt;0,SUM(SUMIF(F$11:F$14,{"Negative-Controllability","Positive-Controllability","Negative-Usefulness","Positive-Usefulness"},G$11:G$14)),"")</f>
        <v/>
      </c>
      <c r="H18" s="163" t="str">
        <f t="shared" ca="1" si="0"/>
        <v/>
      </c>
      <c r="I18" s="137" t="str" cm="1">
        <f t="array" aca="1" ref="I18" ca="1">_xlfn.IFS(H18="","",H18&lt;-1,"Low",AND(-1&lt;H18, H18&lt;1),"Average",H18&gt;1, "High")</f>
        <v/>
      </c>
      <c r="J18" s="165" t="s">
        <v>220</v>
      </c>
      <c r="K18" s="165" t="s">
        <v>1614</v>
      </c>
      <c r="AE18" s="62"/>
    </row>
    <row r="19" spans="1:31" s="33" customFormat="1" x14ac:dyDescent="0.25">
      <c r="A19" s="149">
        <v>9</v>
      </c>
      <c r="B19" s="33" t="s">
        <v>38</v>
      </c>
      <c r="C19" s="175"/>
      <c r="AE19" s="62"/>
    </row>
    <row r="20" spans="1:31" s="33" customFormat="1" x14ac:dyDescent="0.25">
      <c r="A20" s="155">
        <v>10</v>
      </c>
      <c r="B20" s="156" t="s">
        <v>39</v>
      </c>
      <c r="C20" s="176"/>
      <c r="AE20" s="62"/>
    </row>
    <row r="21" spans="1:31" s="33" customFormat="1" ht="21" x14ac:dyDescent="0.35">
      <c r="A21" s="149">
        <v>11</v>
      </c>
      <c r="B21" s="33" t="s">
        <v>40</v>
      </c>
      <c r="C21" s="175"/>
      <c r="F21" s="166" t="s">
        <v>237</v>
      </c>
      <c r="G21" s="132"/>
      <c r="H21" s="132"/>
      <c r="I21" s="132"/>
      <c r="J21" s="132"/>
      <c r="K21" s="132"/>
      <c r="AE21" s="62"/>
    </row>
    <row r="22" spans="1:31" s="33" customFormat="1" x14ac:dyDescent="0.25">
      <c r="A22" s="155">
        <v>12</v>
      </c>
      <c r="B22" s="156" t="s">
        <v>41</v>
      </c>
      <c r="C22" s="176"/>
      <c r="F22" s="28" t="s">
        <v>245</v>
      </c>
      <c r="G22" s="28"/>
      <c r="H22" s="28"/>
      <c r="I22" s="28"/>
      <c r="J22" s="28"/>
      <c r="K22" s="28"/>
      <c r="AE22" s="62"/>
    </row>
    <row r="23" spans="1:31" s="33" customFormat="1" x14ac:dyDescent="0.25">
      <c r="A23" s="149">
        <v>13</v>
      </c>
      <c r="B23" s="33" t="s">
        <v>42</v>
      </c>
      <c r="C23" s="175"/>
      <c r="F23" s="28"/>
      <c r="G23" s="28"/>
      <c r="H23" s="28"/>
      <c r="I23" s="28"/>
      <c r="J23" s="28"/>
      <c r="K23" s="28"/>
      <c r="AE23" s="62"/>
    </row>
    <row r="24" spans="1:31" s="33" customFormat="1" x14ac:dyDescent="0.25">
      <c r="A24" s="155">
        <v>14</v>
      </c>
      <c r="B24" s="156" t="s">
        <v>43</v>
      </c>
      <c r="C24" s="176"/>
      <c r="F24" s="51" t="s">
        <v>150</v>
      </c>
      <c r="G24" s="28"/>
      <c r="H24" s="28"/>
      <c r="I24" s="28"/>
      <c r="J24" s="28"/>
      <c r="K24" s="28"/>
      <c r="AE24" s="62"/>
    </row>
    <row r="25" spans="1:31" s="33" customFormat="1" x14ac:dyDescent="0.25">
      <c r="A25" s="149">
        <v>15</v>
      </c>
      <c r="B25" s="33" t="s">
        <v>44</v>
      </c>
      <c r="C25" s="175"/>
      <c r="F25" s="101" t="s">
        <v>304</v>
      </c>
      <c r="G25" s="28"/>
      <c r="H25" s="28"/>
      <c r="I25" s="28"/>
      <c r="J25" s="28"/>
      <c r="K25" s="28"/>
      <c r="AE25" s="62"/>
    </row>
    <row r="26" spans="1:31" s="33" customFormat="1" ht="20.25" thickBot="1" x14ac:dyDescent="0.3">
      <c r="A26" s="173">
        <v>16</v>
      </c>
      <c r="B26" s="174" t="s">
        <v>45</v>
      </c>
      <c r="C26" s="177"/>
      <c r="F26" s="101" t="s">
        <v>305</v>
      </c>
      <c r="G26" s="28"/>
      <c r="H26" s="28"/>
      <c r="I26" s="28"/>
      <c r="J26" s="28"/>
      <c r="K26" s="28"/>
      <c r="AE26" s="62"/>
    </row>
    <row r="27" spans="1:31" x14ac:dyDescent="0.3">
      <c r="F27" s="101" t="s">
        <v>306</v>
      </c>
    </row>
    <row r="28" spans="1:31" x14ac:dyDescent="0.3">
      <c r="F28" s="101"/>
    </row>
    <row r="29" spans="1:31" x14ac:dyDescent="0.3">
      <c r="A29" s="131"/>
      <c r="B29" s="170" t="s">
        <v>797</v>
      </c>
      <c r="C29" s="131"/>
    </row>
    <row r="30" spans="1:31" ht="32.25" x14ac:dyDescent="0.3">
      <c r="B30" s="171" t="s">
        <v>840</v>
      </c>
    </row>
    <row r="31" spans="1:31" x14ac:dyDescent="0.3">
      <c r="F31" s="51"/>
    </row>
    <row r="32" spans="1:31" x14ac:dyDescent="0.3">
      <c r="F32" s="101"/>
    </row>
    <row r="33" spans="6:6" x14ac:dyDescent="0.3">
      <c r="F33" s="101"/>
    </row>
    <row r="34" spans="6:6" x14ac:dyDescent="0.3">
      <c r="F34" s="101"/>
    </row>
  </sheetData>
  <sheetProtection algorithmName="SHA-512" hashValue="CDvC/yqkMN75OJrPYCo9BbwCZXliO3O7pygYcz7aOy5lZ0KriOD2m+4qy8/3tcCb+mNmPVIfl00+ZKt4TwFWKw==" saltValue="Pg8eH3lf5dHOmZxSEBzFYQ==" spinCount="100000" sheet="1" objects="1" scenarios="1"/>
  <mergeCells count="2">
    <mergeCell ref="A6:C6"/>
    <mergeCell ref="A7:C7"/>
  </mergeCells>
  <dataValidations count="1">
    <dataValidation type="list" allowBlank="1" showInputMessage="1" showErrorMessage="1" sqref="C11:C26" xr:uid="{9541B872-5590-8F42-99D7-1350840295C6}">
      <formula1>"1,2,3,4,5,6,7"</formula1>
    </dataValidation>
  </dataValidation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CE513-BC1C-D845-990E-3F81F0B7AD3D}">
  <sheetPr>
    <tabColor theme="6" tint="-0.249977111117893"/>
  </sheetPr>
  <dimension ref="A1:AE34"/>
  <sheetViews>
    <sheetView workbookViewId="0">
      <selection activeCell="C11" sqref="C11"/>
    </sheetView>
  </sheetViews>
  <sheetFormatPr defaultColWidth="10.875" defaultRowHeight="19.5" x14ac:dyDescent="0.3"/>
  <cols>
    <col min="1" max="1" width="8.375" style="28" customWidth="1"/>
    <col min="2" max="2" width="106" style="28" customWidth="1"/>
    <col min="3" max="3" width="12.5" style="28" customWidth="1"/>
    <col min="4" max="5" width="10.875" style="28"/>
    <col min="6" max="6" width="54.125" style="28" customWidth="1"/>
    <col min="7" max="9" width="12.5" style="28" customWidth="1"/>
    <col min="10" max="10" width="53.375" style="28" bestFit="1" customWidth="1"/>
    <col min="11" max="11" width="19.375"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172" t="s">
        <v>318</v>
      </c>
      <c r="F3" s="130"/>
      <c r="G3" s="130"/>
      <c r="H3" s="130"/>
      <c r="I3" s="130"/>
      <c r="J3" s="130"/>
      <c r="AE3" s="61"/>
    </row>
    <row r="5" spans="1:31" x14ac:dyDescent="0.3">
      <c r="A5" s="131" t="s">
        <v>818</v>
      </c>
      <c r="B5" s="132"/>
      <c r="C5" s="132"/>
    </row>
    <row r="6" spans="1:31" s="133" customFormat="1" ht="69" customHeight="1" x14ac:dyDescent="0.25">
      <c r="A6" s="339" t="s">
        <v>1384</v>
      </c>
      <c r="B6" s="340"/>
      <c r="C6" s="341"/>
      <c r="AE6" s="134"/>
    </row>
    <row r="7" spans="1:31" s="133" customFormat="1" x14ac:dyDescent="0.25">
      <c r="A7" s="342" t="s">
        <v>1383</v>
      </c>
      <c r="B7" s="343"/>
      <c r="C7" s="344"/>
      <c r="AE7" s="134"/>
    </row>
    <row r="8" spans="1:31" ht="20.25" thickBot="1" x14ac:dyDescent="0.35"/>
    <row r="9" spans="1:31" x14ac:dyDescent="0.3">
      <c r="A9" s="262"/>
      <c r="B9" s="139"/>
      <c r="C9" s="140"/>
      <c r="F9" s="139" t="s">
        <v>132</v>
      </c>
      <c r="G9" s="141"/>
      <c r="H9" s="142" t="s">
        <v>361</v>
      </c>
      <c r="I9" s="143"/>
      <c r="J9" s="139"/>
      <c r="K9" s="139"/>
    </row>
    <row r="10" spans="1:31" ht="75" x14ac:dyDescent="0.3">
      <c r="A10" s="144" t="s">
        <v>1</v>
      </c>
      <c r="B10" s="144" t="s">
        <v>2</v>
      </c>
      <c r="C10" s="145" t="s">
        <v>819</v>
      </c>
      <c r="F10" s="146" t="s">
        <v>133</v>
      </c>
      <c r="G10" s="147" t="s">
        <v>134</v>
      </c>
      <c r="H10" s="147" t="s">
        <v>135</v>
      </c>
      <c r="I10" s="148" t="s">
        <v>317</v>
      </c>
      <c r="J10" s="146" t="s">
        <v>136</v>
      </c>
      <c r="K10" s="146" t="s">
        <v>1448</v>
      </c>
    </row>
    <row r="11" spans="1:31" s="33" customFormat="1" x14ac:dyDescent="0.25">
      <c r="A11" s="149">
        <v>1</v>
      </c>
      <c r="B11" s="33" t="s">
        <v>348</v>
      </c>
      <c r="C11" s="175"/>
      <c r="F11" s="150" t="s">
        <v>320</v>
      </c>
      <c r="G11" s="151" t="str" cm="1">
        <f t="array" ref="G11">IF(COUNTA(C$11:C$230)&gt;0,SUM(SUMIF(A$11:A$230,{1,3,5,7,8,10},C$11:C$230)),"")</f>
        <v/>
      </c>
      <c r="H11" s="152" t="str">
        <f ca="1">IF(G11="","",(G11-VLOOKUP(F11,INDIRECT($H$9),2, FALSE))/VLOOKUP(F11,INDIRECT($H$9),3, FALSE))</f>
        <v/>
      </c>
      <c r="I11" s="198" t="str" cm="1">
        <f t="array" aca="1" ref="I11" ca="1">_xlfn.IFS(H11="","",H11&lt;-1,"Low",AND(-1&lt;H11, H11&lt;1),"Average",H11&gt;1, "High")</f>
        <v/>
      </c>
      <c r="J11" s="154" t="s">
        <v>358</v>
      </c>
      <c r="K11" s="154" t="s">
        <v>1498</v>
      </c>
      <c r="AE11" s="62"/>
    </row>
    <row r="12" spans="1:31" s="33" customFormat="1" x14ac:dyDescent="0.25">
      <c r="A12" s="155">
        <v>2</v>
      </c>
      <c r="B12" s="156" t="s">
        <v>349</v>
      </c>
      <c r="C12" s="176"/>
      <c r="F12" s="162" t="s">
        <v>321</v>
      </c>
      <c r="G12" s="135" t="str" cm="1">
        <f t="array" ref="G12">IF(COUNTA(C$11:C$230)&gt;0,SUM(SUMIF(A$11:A$230,{2,4,6,9},C$11:C$230)),"")</f>
        <v/>
      </c>
      <c r="H12" s="163" t="str">
        <f ca="1">IF(G12="","",(G12-VLOOKUP(F12,INDIRECT($H$9),2, FALSE))/VLOOKUP(F12,INDIRECT($H$9),3, FALSE))</f>
        <v/>
      </c>
      <c r="I12" s="137" t="str" cm="1">
        <f t="array" aca="1" ref="I12" ca="1">_xlfn.IFS(H12="","",H12&lt;-1,"Low",AND(-1&lt;H12, H12&lt;1),"Average",H12&gt;1, "High")</f>
        <v/>
      </c>
      <c r="J12" s="165" t="s">
        <v>359</v>
      </c>
      <c r="K12" s="165" t="s">
        <v>1499</v>
      </c>
      <c r="AE12" s="62"/>
    </row>
    <row r="13" spans="1:31" s="33" customFormat="1" x14ac:dyDescent="0.25">
      <c r="A13" s="149">
        <v>3</v>
      </c>
      <c r="B13" s="33" t="s">
        <v>350</v>
      </c>
      <c r="C13" s="175"/>
      <c r="AE13" s="62"/>
    </row>
    <row r="14" spans="1:31" s="33" customFormat="1" x14ac:dyDescent="0.25">
      <c r="A14" s="155">
        <v>4</v>
      </c>
      <c r="B14" s="156" t="s">
        <v>351</v>
      </c>
      <c r="C14" s="176"/>
      <c r="AE14" s="62"/>
    </row>
    <row r="15" spans="1:31" s="33" customFormat="1" ht="21" x14ac:dyDescent="0.35">
      <c r="A15" s="149">
        <v>5</v>
      </c>
      <c r="B15" s="33" t="s">
        <v>352</v>
      </c>
      <c r="C15" s="175"/>
      <c r="F15" s="166" t="s">
        <v>237</v>
      </c>
      <c r="G15" s="132"/>
      <c r="H15" s="132"/>
      <c r="I15" s="132"/>
      <c r="J15" s="132"/>
      <c r="K15" s="132"/>
      <c r="AE15" s="62"/>
    </row>
    <row r="16" spans="1:31" s="33" customFormat="1" x14ac:dyDescent="0.25">
      <c r="A16" s="155">
        <v>6</v>
      </c>
      <c r="B16" s="156" t="s">
        <v>353</v>
      </c>
      <c r="C16" s="176"/>
      <c r="F16" s="33" t="s">
        <v>778</v>
      </c>
      <c r="G16" s="28"/>
      <c r="H16" s="28"/>
      <c r="I16" s="28"/>
      <c r="J16" s="28"/>
      <c r="K16" s="28"/>
      <c r="AE16" s="62"/>
    </row>
    <row r="17" spans="1:31" s="33" customFormat="1" x14ac:dyDescent="0.25">
      <c r="A17" s="149">
        <v>7</v>
      </c>
      <c r="B17" s="33" t="s">
        <v>354</v>
      </c>
      <c r="C17" s="175"/>
      <c r="F17" s="28"/>
      <c r="G17" s="28"/>
      <c r="H17" s="28"/>
      <c r="I17" s="28"/>
      <c r="J17" s="28"/>
      <c r="K17" s="28"/>
      <c r="AE17" s="62"/>
    </row>
    <row r="18" spans="1:31" s="33" customFormat="1" x14ac:dyDescent="0.25">
      <c r="A18" s="155">
        <v>8</v>
      </c>
      <c r="B18" s="156" t="s">
        <v>355</v>
      </c>
      <c r="C18" s="176"/>
      <c r="F18" s="51" t="s">
        <v>150</v>
      </c>
      <c r="G18" s="28"/>
      <c r="H18" s="28"/>
      <c r="I18" s="28"/>
      <c r="J18" s="28"/>
      <c r="K18" s="28"/>
      <c r="AE18" s="62"/>
    </row>
    <row r="19" spans="1:31" s="33" customFormat="1" x14ac:dyDescent="0.25">
      <c r="A19" s="149">
        <v>9</v>
      </c>
      <c r="B19" s="33" t="s">
        <v>356</v>
      </c>
      <c r="C19" s="175"/>
      <c r="F19" s="101" t="s">
        <v>779</v>
      </c>
      <c r="G19" s="28"/>
      <c r="H19" s="28"/>
      <c r="I19" s="28"/>
      <c r="J19" s="28"/>
      <c r="K19" s="28"/>
      <c r="AE19" s="62"/>
    </row>
    <row r="20" spans="1:31" s="33" customFormat="1" ht="20.25" thickBot="1" x14ac:dyDescent="0.3">
      <c r="A20" s="173">
        <v>10</v>
      </c>
      <c r="B20" s="174" t="s">
        <v>357</v>
      </c>
      <c r="C20" s="177"/>
      <c r="F20" s="101" t="s">
        <v>780</v>
      </c>
      <c r="G20" s="28"/>
      <c r="H20" s="28"/>
      <c r="I20" s="28"/>
      <c r="J20" s="28"/>
      <c r="K20" s="28"/>
      <c r="AE20" s="62"/>
    </row>
    <row r="21" spans="1:31" s="33" customFormat="1" x14ac:dyDescent="0.25">
      <c r="A21" s="28"/>
      <c r="B21" s="28"/>
      <c r="C21" s="28"/>
      <c r="F21" s="101" t="s">
        <v>781</v>
      </c>
      <c r="G21" s="28"/>
      <c r="H21" s="28"/>
      <c r="I21" s="28"/>
      <c r="J21" s="28"/>
      <c r="K21" s="28"/>
      <c r="AE21" s="62"/>
    </row>
    <row r="22" spans="1:31" s="33" customFormat="1" x14ac:dyDescent="0.25">
      <c r="A22" s="28"/>
      <c r="B22" s="28"/>
      <c r="C22" s="28"/>
      <c r="F22" s="101"/>
      <c r="G22" s="28"/>
      <c r="H22" s="28"/>
      <c r="I22" s="28"/>
      <c r="J22" s="28"/>
      <c r="K22" s="28"/>
      <c r="AE22" s="62"/>
    </row>
    <row r="23" spans="1:31" s="33" customFormat="1" x14ac:dyDescent="0.3">
      <c r="A23" s="131"/>
      <c r="B23" s="170" t="s">
        <v>797</v>
      </c>
      <c r="C23" s="131"/>
      <c r="AE23" s="62"/>
    </row>
    <row r="24" spans="1:31" s="33" customFormat="1" ht="31.5" x14ac:dyDescent="0.25">
      <c r="A24" s="28"/>
      <c r="B24" s="171" t="s">
        <v>841</v>
      </c>
      <c r="C24" s="28"/>
      <c r="F24" s="28"/>
      <c r="G24" s="28"/>
      <c r="H24" s="28"/>
      <c r="I24" s="28"/>
      <c r="J24" s="28"/>
      <c r="K24" s="28"/>
      <c r="AE24" s="62"/>
    </row>
    <row r="25" spans="1:31" s="33" customFormat="1" x14ac:dyDescent="0.25">
      <c r="A25" s="28"/>
      <c r="B25" s="28"/>
      <c r="C25" s="28"/>
      <c r="F25" s="28"/>
      <c r="G25" s="28"/>
      <c r="H25" s="28"/>
      <c r="I25" s="28"/>
      <c r="J25" s="28"/>
      <c r="K25" s="28"/>
      <c r="AE25" s="62"/>
    </row>
    <row r="26" spans="1:31" s="33" customFormat="1" x14ac:dyDescent="0.25">
      <c r="A26" s="28"/>
      <c r="B26" s="28"/>
      <c r="C26" s="28"/>
      <c r="F26" s="28"/>
      <c r="G26" s="28"/>
      <c r="H26" s="28"/>
      <c r="I26" s="28"/>
      <c r="J26" s="28"/>
      <c r="K26" s="28"/>
      <c r="AE26" s="62"/>
    </row>
    <row r="27" spans="1:31" s="33" customFormat="1" x14ac:dyDescent="0.25">
      <c r="A27" s="28"/>
      <c r="B27" s="28"/>
      <c r="C27" s="28"/>
      <c r="F27" s="28"/>
      <c r="G27" s="28"/>
      <c r="H27" s="28"/>
      <c r="I27" s="28"/>
      <c r="J27" s="28"/>
      <c r="K27" s="28"/>
      <c r="AE27" s="62"/>
    </row>
    <row r="28" spans="1:31" ht="21" x14ac:dyDescent="0.35">
      <c r="F28" s="168"/>
    </row>
    <row r="29" spans="1:31" x14ac:dyDescent="0.3">
      <c r="F29" s="33"/>
    </row>
    <row r="30" spans="1:31" x14ac:dyDescent="0.3">
      <c r="B30" s="186"/>
    </row>
    <row r="31" spans="1:31" x14ac:dyDescent="0.3">
      <c r="F31" s="51"/>
    </row>
    <row r="32" spans="1:31" x14ac:dyDescent="0.3">
      <c r="F32" s="101"/>
    </row>
    <row r="33" spans="6:6" x14ac:dyDescent="0.3">
      <c r="F33" s="101"/>
    </row>
    <row r="34" spans="6:6" x14ac:dyDescent="0.3">
      <c r="F34" s="101"/>
    </row>
  </sheetData>
  <sheetProtection algorithmName="SHA-512" hashValue="nxro295L6lx9uUuSwRUdLNOouV4zhMTH2Jx7UX79ppmUn/MHgD9rswY1FNpJ1GvxVgKAOVh4i42GUQHqYVDYSQ==" saltValue="9o3ZAOCOPlrbfIwhFtlVVQ==" spinCount="100000" sheet="1" objects="1" scenarios="1"/>
  <mergeCells count="2">
    <mergeCell ref="A6:C6"/>
    <mergeCell ref="A7:C7"/>
  </mergeCells>
  <dataValidations count="1">
    <dataValidation type="list" allowBlank="1" showInputMessage="1" showErrorMessage="1" sqref="C11:C20" xr:uid="{8CACA8DB-19A3-DA47-BB51-E880D0A8B724}">
      <formula1>"1,2,3,4,5,6,7"</formula1>
    </dataValidation>
  </dataValidation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517B-6816-0C4A-AF06-44063A4B1A0B}">
  <sheetPr>
    <tabColor theme="6" tint="-0.249977111117893"/>
  </sheetPr>
  <dimension ref="A1:AE59"/>
  <sheetViews>
    <sheetView workbookViewId="0">
      <selection activeCell="C11" sqref="C11"/>
    </sheetView>
  </sheetViews>
  <sheetFormatPr defaultColWidth="10.875" defaultRowHeight="19.5" x14ac:dyDescent="0.3"/>
  <cols>
    <col min="1" max="1" width="8.375" style="28" customWidth="1"/>
    <col min="2" max="2" width="106" style="28" customWidth="1"/>
    <col min="3" max="3" width="12.5" style="28" customWidth="1"/>
    <col min="4" max="5" width="10.875" style="28"/>
    <col min="6" max="6" width="54.125" style="28" customWidth="1"/>
    <col min="7" max="9" width="12.5" style="28" customWidth="1"/>
    <col min="10" max="10" width="109.5" style="28" bestFit="1" customWidth="1"/>
    <col min="11" max="11" width="19.375"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172" t="s">
        <v>1182</v>
      </c>
      <c r="F3" s="130"/>
      <c r="G3" s="130"/>
      <c r="H3" s="130"/>
      <c r="I3" s="130"/>
      <c r="J3" s="130"/>
      <c r="AE3" s="61"/>
    </row>
    <row r="5" spans="1:31" x14ac:dyDescent="0.3">
      <c r="A5" s="131" t="s">
        <v>818</v>
      </c>
      <c r="B5" s="132"/>
      <c r="C5" s="132"/>
    </row>
    <row r="6" spans="1:31" s="133" customFormat="1" ht="35.1" customHeight="1" x14ac:dyDescent="0.25">
      <c r="A6" s="361" t="s">
        <v>1267</v>
      </c>
      <c r="B6" s="362"/>
      <c r="C6" s="363"/>
      <c r="AE6" s="134"/>
    </row>
    <row r="7" spans="1:31" s="133" customFormat="1" x14ac:dyDescent="0.25">
      <c r="A7" s="342" t="s">
        <v>1268</v>
      </c>
      <c r="B7" s="343"/>
      <c r="C7" s="344"/>
      <c r="AE7" s="134"/>
    </row>
    <row r="8" spans="1:31" ht="20.25" thickBot="1" x14ac:dyDescent="0.35"/>
    <row r="9" spans="1:31" x14ac:dyDescent="0.3">
      <c r="A9" s="262"/>
      <c r="B9" s="139"/>
      <c r="C9" s="140"/>
      <c r="F9" s="139" t="s">
        <v>132</v>
      </c>
      <c r="G9" s="141"/>
      <c r="H9" s="142" t="s">
        <v>1187</v>
      </c>
      <c r="I9" s="143"/>
      <c r="J9" s="139"/>
      <c r="K9" s="139"/>
    </row>
    <row r="10" spans="1:31" ht="75" x14ac:dyDescent="0.3">
      <c r="A10" s="144" t="s">
        <v>1</v>
      </c>
      <c r="B10" s="144" t="s">
        <v>2</v>
      </c>
      <c r="C10" s="145" t="s">
        <v>1070</v>
      </c>
      <c r="F10" s="146" t="s">
        <v>133</v>
      </c>
      <c r="G10" s="147" t="s">
        <v>134</v>
      </c>
      <c r="H10" s="147" t="s">
        <v>135</v>
      </c>
      <c r="I10" s="148" t="s">
        <v>317</v>
      </c>
      <c r="J10" s="146" t="s">
        <v>136</v>
      </c>
      <c r="K10" s="146" t="s">
        <v>1448</v>
      </c>
    </row>
    <row r="11" spans="1:31" s="33" customFormat="1" x14ac:dyDescent="0.25">
      <c r="A11" s="149">
        <v>1</v>
      </c>
      <c r="B11" s="33" t="s">
        <v>1269</v>
      </c>
      <c r="C11" s="175"/>
      <c r="F11" s="150" t="s">
        <v>1312</v>
      </c>
      <c r="G11" s="220" t="str" cm="1">
        <f t="array" ref="G11">IF(COUNTA(C$11:C$230)&gt;0,AVERAGE(SUMIF(A$11:A$230,{9,11,15,28},C$11:C$230)),"")</f>
        <v/>
      </c>
      <c r="H11" s="152" t="str">
        <f ca="1">IF(G11="","",(G11-VLOOKUP(F11,INDIRECT($H$9),2, FALSE))/VLOOKUP(F11,INDIRECT($H$9),3, FALSE))</f>
        <v/>
      </c>
      <c r="I11" s="198" t="str" cm="1">
        <f t="array" aca="1" ref="I11" ca="1">_xlfn.IFS(H11="","",H11&lt;-1,"Low",AND(-1&lt;H11, H11&lt;1),"Average",H11&gt;1, "High")</f>
        <v/>
      </c>
      <c r="J11" s="263" t="s">
        <v>1428</v>
      </c>
      <c r="K11" s="263" t="s">
        <v>1500</v>
      </c>
      <c r="AE11" s="62"/>
    </row>
    <row r="12" spans="1:31" s="33" customFormat="1" x14ac:dyDescent="0.25">
      <c r="A12" s="155">
        <v>2</v>
      </c>
      <c r="B12" s="156" t="s">
        <v>1270</v>
      </c>
      <c r="C12" s="176"/>
      <c r="F12" s="157" t="s">
        <v>1313</v>
      </c>
      <c r="G12" s="222" t="str" cm="1">
        <f t="array" ref="G12">IF(COUNTA(C$11:C$230)&gt;0,AVERAGE(SUMIF(A$11:A$230,{4,5,12,18,42,44},C$11:C$230)),"")</f>
        <v/>
      </c>
      <c r="H12" s="159" t="str">
        <f t="shared" ref="H12:H14" ca="1" si="0">IF(G12="","",(G12-VLOOKUP(F12,INDIRECT($H$9),2, FALSE))/VLOOKUP(F12,INDIRECT($H$9),3, FALSE))</f>
        <v/>
      </c>
      <c r="I12" s="190" t="str" cm="1">
        <f t="array" aca="1" ref="I12" ca="1">_xlfn.IFS(H12="","",H12&lt;-1,"Low",AND(-1&lt;H12, H12&lt;1),"Average",H12&gt;1, "High")</f>
        <v/>
      </c>
      <c r="J12" s="264" t="s">
        <v>1429</v>
      </c>
      <c r="K12" s="264" t="s">
        <v>1501</v>
      </c>
      <c r="AE12" s="62"/>
    </row>
    <row r="13" spans="1:31" s="33" customFormat="1" x14ac:dyDescent="0.25">
      <c r="A13" s="149">
        <v>3</v>
      </c>
      <c r="B13" s="33" t="s">
        <v>1271</v>
      </c>
      <c r="C13" s="175"/>
      <c r="F13" s="157" t="s">
        <v>1314</v>
      </c>
      <c r="G13" s="222" t="str" cm="1">
        <f t="array" ref="G13">IF(COUNTA(C$11:C$230)&gt;0,AVERAGE(SUMIF(A$11:A$230,{6,17,19,26,36,39},C$11:C$230)),"")</f>
        <v/>
      </c>
      <c r="H13" s="159" t="str">
        <f t="shared" ca="1" si="0"/>
        <v/>
      </c>
      <c r="I13" s="190" t="str" cm="1">
        <f t="array" aca="1" ref="I13" ca="1">_xlfn.IFS(H13="","",H13&lt;-1,"Low",AND(-1&lt;H13, H13&lt;1),"Average",H13&gt;1, "High")</f>
        <v/>
      </c>
      <c r="J13" s="264" t="s">
        <v>1430</v>
      </c>
      <c r="K13" s="264" t="s">
        <v>1502</v>
      </c>
      <c r="AE13" s="62"/>
    </row>
    <row r="14" spans="1:31" s="33" customFormat="1" x14ac:dyDescent="0.25">
      <c r="A14" s="155">
        <v>4</v>
      </c>
      <c r="B14" s="156" t="s">
        <v>1272</v>
      </c>
      <c r="C14" s="176"/>
      <c r="F14" s="157" t="s">
        <v>1315</v>
      </c>
      <c r="G14" s="222" t="str" cm="1">
        <f t="array" ref="G14">IF(COUNTA(C$11:C$230)&gt;0,AVERAGE(SUMIF(A$11:A$230,{3,10,14,37,43},C$11:C$230)),"")</f>
        <v/>
      </c>
      <c r="H14" s="159" t="str">
        <f t="shared" ca="1" si="0"/>
        <v/>
      </c>
      <c r="I14" s="190" t="str" cm="1">
        <f t="array" aca="1" ref="I14" ca="1">_xlfn.IFS(H14="","",H14&lt;-1,"Low",AND(-1&lt;H14, H14&lt;1),"Average",H14&gt;1, "High")</f>
        <v/>
      </c>
      <c r="J14" s="264" t="s">
        <v>1431</v>
      </c>
      <c r="K14" s="264" t="s">
        <v>1627</v>
      </c>
      <c r="AE14" s="62"/>
    </row>
    <row r="15" spans="1:31" s="33" customFormat="1" x14ac:dyDescent="0.25">
      <c r="A15" s="149">
        <v>5</v>
      </c>
      <c r="B15" s="33" t="s">
        <v>1273</v>
      </c>
      <c r="C15" s="175"/>
      <c r="F15" s="157" t="s">
        <v>1316</v>
      </c>
      <c r="G15" s="222" t="str" cm="1">
        <f t="array" ref="G15">IF(COUNTA(C$11:C$230)&gt;0,AVERAGE(SUMIF(A$11:A$230,{2,22,23,31},C$11:C$230)),"")</f>
        <v/>
      </c>
      <c r="H15" s="159" t="str">
        <f t="shared" ref="H15:H17" ca="1" si="1">IF(G15="","",(G15-VLOOKUP(F15,INDIRECT($H$9),2, FALSE))/VLOOKUP(F15,INDIRECT($H$9),3, FALSE))</f>
        <v/>
      </c>
      <c r="I15" s="190" t="str" cm="1">
        <f t="array" aca="1" ref="I15" ca="1">_xlfn.IFS(H15="","",H15&lt;-1,"Low",AND(-1&lt;H15, H15&lt;1),"Average",H15&gt;1, "High")</f>
        <v/>
      </c>
      <c r="J15" s="264" t="s">
        <v>1432</v>
      </c>
      <c r="K15" s="264" t="s">
        <v>1503</v>
      </c>
      <c r="AE15" s="62"/>
    </row>
    <row r="16" spans="1:31" s="33" customFormat="1" x14ac:dyDescent="0.25">
      <c r="A16" s="155">
        <v>6</v>
      </c>
      <c r="B16" s="156" t="s">
        <v>1274</v>
      </c>
      <c r="C16" s="176"/>
      <c r="F16" s="157" t="s">
        <v>1317</v>
      </c>
      <c r="G16" s="222" t="str" cm="1">
        <f t="array" ref="G16">IF(COUNTA(C$11:C$230)&gt;0,AVERAGE(SUMIF(A$11:A$230,{13,27,29,33,35},C$11:C$230)),"")</f>
        <v/>
      </c>
      <c r="H16" s="159" t="str">
        <f t="shared" ca="1" si="1"/>
        <v/>
      </c>
      <c r="I16" s="190" t="str" cm="1">
        <f t="array" aca="1" ref="I16" ca="1">_xlfn.IFS(H16="","",H16&lt;-1,"Low",AND(-1&lt;H16, H16&lt;1),"Average",H16&gt;1, "High")</f>
        <v/>
      </c>
      <c r="J16" s="264" t="s">
        <v>1433</v>
      </c>
      <c r="K16" s="264" t="s">
        <v>1504</v>
      </c>
      <c r="AE16" s="62"/>
    </row>
    <row r="17" spans="1:31" s="33" customFormat="1" x14ac:dyDescent="0.25">
      <c r="A17" s="149">
        <v>7</v>
      </c>
      <c r="B17" s="33" t="s">
        <v>1589</v>
      </c>
      <c r="C17" s="175"/>
      <c r="F17" s="157" t="s">
        <v>1318</v>
      </c>
      <c r="G17" s="222" t="str" cm="1">
        <f t="array" ref="G17">IF(COUNTA(C$11:C$230)&gt;0,AVERAGE(SUMIF(A$11:A$230,{7,20,21,24,40,45},C$11:C$230)),"")</f>
        <v/>
      </c>
      <c r="H17" s="159" t="str">
        <f t="shared" ca="1" si="1"/>
        <v/>
      </c>
      <c r="I17" s="190" t="str" cm="1">
        <f t="array" aca="1" ref="I17" ca="1">_xlfn.IFS(H17="","",H17&lt;-1,"Low",AND(-1&lt;H17, H17&lt;1),"Average",H17&gt;1, "High")</f>
        <v/>
      </c>
      <c r="J17" s="264" t="s">
        <v>1434</v>
      </c>
      <c r="K17" s="264" t="s">
        <v>1505</v>
      </c>
      <c r="AE17" s="62"/>
    </row>
    <row r="18" spans="1:31" s="33" customFormat="1" x14ac:dyDescent="0.25">
      <c r="A18" s="155">
        <v>8</v>
      </c>
      <c r="B18" s="156" t="s">
        <v>1275</v>
      </c>
      <c r="C18" s="176"/>
      <c r="F18" s="157" t="s">
        <v>1319</v>
      </c>
      <c r="G18" s="222" t="str" cm="1">
        <f t="array" ref="G18">IF(COUNTA(C$11:C$230)&gt;0,AVERAGE(SUMIF(A$11:A$230,{25,38,41},C$11:C$230)),"")</f>
        <v/>
      </c>
      <c r="H18" s="159" t="str">
        <f t="shared" ref="H18:H19" ca="1" si="2">IF(G18="","",(G18-VLOOKUP(F18,INDIRECT($H$9),2, FALSE))/VLOOKUP(F18,INDIRECT($H$9),3, FALSE))</f>
        <v/>
      </c>
      <c r="I18" s="190" t="str" cm="1">
        <f t="array" aca="1" ref="I18" ca="1">_xlfn.IFS(H18="","",H18&lt;-1,"Low",AND(-1&lt;H18, H18&lt;1),"Average",H18&gt;1, "High")</f>
        <v/>
      </c>
      <c r="J18" s="264" t="s">
        <v>1435</v>
      </c>
      <c r="K18" s="264" t="s">
        <v>1506</v>
      </c>
      <c r="AE18" s="62"/>
    </row>
    <row r="19" spans="1:31" s="33" customFormat="1" x14ac:dyDescent="0.25">
      <c r="A19" s="149">
        <v>9</v>
      </c>
      <c r="B19" s="33" t="s">
        <v>1276</v>
      </c>
      <c r="C19" s="175"/>
      <c r="F19" s="157" t="s">
        <v>1320</v>
      </c>
      <c r="G19" s="222" t="str" cm="1">
        <f t="array" ref="G19">IF(COUNTA(C$11:C$230)&gt;0,AVERAGE(SUMIF(A$11:A$230,{8,30,32},C$11:C$230)),"")</f>
        <v/>
      </c>
      <c r="H19" s="159" t="str">
        <f t="shared" ca="1" si="2"/>
        <v/>
      </c>
      <c r="I19" s="190" t="str" cm="1">
        <f t="array" aca="1" ref="I19" ca="1">_xlfn.IFS(H19="","",H19&lt;-1,"Low",AND(-1&lt;H19, H19&lt;1),"Average",H19&gt;1, "High")</f>
        <v/>
      </c>
      <c r="J19" s="264" t="s">
        <v>1436</v>
      </c>
      <c r="K19" s="264" t="s">
        <v>1507</v>
      </c>
      <c r="AE19" s="62"/>
    </row>
    <row r="20" spans="1:31" s="33" customFormat="1" x14ac:dyDescent="0.25">
      <c r="A20" s="155">
        <v>10</v>
      </c>
      <c r="B20" s="156" t="s">
        <v>1277</v>
      </c>
      <c r="C20" s="176"/>
      <c r="F20" s="162" t="s">
        <v>321</v>
      </c>
      <c r="G20" s="230" t="str" cm="1">
        <f t="array" ref="G20">IF(COUNTA(C$11:C$230)&gt;0,AVERAGE(SUMIF(A$11:A$230,{1,16,34},C$11:C$230)),"")</f>
        <v/>
      </c>
      <c r="H20" s="163" t="str">
        <f ca="1">IF(G20="","",(G20-VLOOKUP(F20,INDIRECT($H$9),2, FALSE))/VLOOKUP(F20,INDIRECT($H$9),3, FALSE))</f>
        <v/>
      </c>
      <c r="I20" s="137" t="str" cm="1">
        <f t="array" aca="1" ref="I20" ca="1">_xlfn.IFS(H20="","",H20&lt;-1,"Low",AND(-1&lt;H20, H20&lt;1),"Average",H20&gt;1, "High")</f>
        <v/>
      </c>
      <c r="J20" s="265" t="s">
        <v>1437</v>
      </c>
      <c r="K20" s="265" t="s">
        <v>1508</v>
      </c>
      <c r="AE20" s="62"/>
    </row>
    <row r="21" spans="1:31" s="33" customFormat="1" x14ac:dyDescent="0.25">
      <c r="A21" s="149">
        <v>11</v>
      </c>
      <c r="B21" s="33" t="s">
        <v>1278</v>
      </c>
      <c r="C21" s="175"/>
      <c r="J21" s="33" t="s">
        <v>1438</v>
      </c>
      <c r="AE21" s="62"/>
    </row>
    <row r="22" spans="1:31" s="33" customFormat="1" x14ac:dyDescent="0.25">
      <c r="A22" s="155">
        <v>12</v>
      </c>
      <c r="B22" s="156" t="s">
        <v>1279</v>
      </c>
      <c r="C22" s="176"/>
      <c r="AE22" s="62"/>
    </row>
    <row r="23" spans="1:31" s="33" customFormat="1" ht="21" x14ac:dyDescent="0.35">
      <c r="A23" s="149">
        <v>13</v>
      </c>
      <c r="B23" s="33" t="s">
        <v>1280</v>
      </c>
      <c r="C23" s="175"/>
      <c r="F23" s="166" t="s">
        <v>237</v>
      </c>
      <c r="G23" s="132"/>
      <c r="H23" s="132"/>
      <c r="I23" s="132"/>
      <c r="J23" s="132"/>
      <c r="K23" s="132"/>
      <c r="AE23" s="62"/>
    </row>
    <row r="24" spans="1:31" s="33" customFormat="1" x14ac:dyDescent="0.25">
      <c r="A24" s="155">
        <v>14</v>
      </c>
      <c r="B24" s="156" t="s">
        <v>1281</v>
      </c>
      <c r="C24" s="176"/>
      <c r="F24" s="184" t="s">
        <v>778</v>
      </c>
      <c r="G24" s="28"/>
      <c r="H24" s="28"/>
      <c r="I24" s="28"/>
      <c r="J24" s="28"/>
      <c r="K24" s="28"/>
      <c r="AE24" s="62"/>
    </row>
    <row r="25" spans="1:31" s="33" customFormat="1" x14ac:dyDescent="0.25">
      <c r="A25" s="149">
        <v>15</v>
      </c>
      <c r="B25" s="33" t="s">
        <v>1282</v>
      </c>
      <c r="C25" s="175"/>
      <c r="F25" s="28"/>
      <c r="G25" s="28"/>
      <c r="H25" s="28"/>
      <c r="I25" s="28"/>
      <c r="J25" s="28"/>
      <c r="K25" s="28"/>
      <c r="AE25" s="62"/>
    </row>
    <row r="26" spans="1:31" s="33" customFormat="1" x14ac:dyDescent="0.25">
      <c r="A26" s="155">
        <v>16</v>
      </c>
      <c r="B26" s="156" t="s">
        <v>1283</v>
      </c>
      <c r="C26" s="176"/>
      <c r="F26" s="51" t="s">
        <v>150</v>
      </c>
      <c r="G26" s="28"/>
      <c r="H26" s="28"/>
      <c r="I26" s="28"/>
      <c r="J26" s="28"/>
      <c r="K26" s="28"/>
      <c r="AE26" s="62"/>
    </row>
    <row r="27" spans="1:31" s="33" customFormat="1" x14ac:dyDescent="0.25">
      <c r="A27" s="149">
        <v>17</v>
      </c>
      <c r="B27" s="33" t="s">
        <v>1284</v>
      </c>
      <c r="C27" s="175"/>
      <c r="F27" s="185" t="s">
        <v>779</v>
      </c>
      <c r="G27" s="28"/>
      <c r="H27" s="28"/>
      <c r="I27" s="28"/>
      <c r="J27" s="28"/>
      <c r="K27" s="28"/>
      <c r="AE27" s="62"/>
    </row>
    <row r="28" spans="1:31" x14ac:dyDescent="0.3">
      <c r="A28" s="155">
        <v>18</v>
      </c>
      <c r="B28" s="156" t="s">
        <v>1285</v>
      </c>
      <c r="C28" s="176"/>
      <c r="F28" s="185" t="s">
        <v>780</v>
      </c>
    </row>
    <row r="29" spans="1:31" x14ac:dyDescent="0.3">
      <c r="A29" s="149">
        <v>19</v>
      </c>
      <c r="B29" s="33" t="s">
        <v>1286</v>
      </c>
      <c r="C29" s="175"/>
      <c r="F29" s="185" t="s">
        <v>781</v>
      </c>
    </row>
    <row r="30" spans="1:31" x14ac:dyDescent="0.3">
      <c r="A30" s="155">
        <v>20</v>
      </c>
      <c r="B30" s="156" t="s">
        <v>1287</v>
      </c>
      <c r="C30" s="176"/>
    </row>
    <row r="31" spans="1:31" x14ac:dyDescent="0.3">
      <c r="A31" s="149">
        <v>21</v>
      </c>
      <c r="B31" s="33" t="s">
        <v>1288</v>
      </c>
      <c r="C31" s="175"/>
      <c r="F31" s="33"/>
      <c r="G31" s="33"/>
      <c r="H31" s="33"/>
      <c r="I31" s="33"/>
      <c r="J31" s="33"/>
      <c r="K31" s="33"/>
    </row>
    <row r="32" spans="1:31" x14ac:dyDescent="0.3">
      <c r="A32" s="155">
        <v>22</v>
      </c>
      <c r="B32" s="156" t="s">
        <v>1289</v>
      </c>
      <c r="C32" s="176"/>
    </row>
    <row r="33" spans="1:6" x14ac:dyDescent="0.3">
      <c r="A33" s="149">
        <v>23</v>
      </c>
      <c r="B33" s="33" t="s">
        <v>1290</v>
      </c>
      <c r="C33" s="175"/>
    </row>
    <row r="34" spans="1:6" x14ac:dyDescent="0.3">
      <c r="A34" s="155">
        <v>24</v>
      </c>
      <c r="B34" s="156" t="s">
        <v>1291</v>
      </c>
      <c r="C34" s="176"/>
    </row>
    <row r="35" spans="1:6" x14ac:dyDescent="0.3">
      <c r="A35" s="149">
        <v>25</v>
      </c>
      <c r="B35" s="33" t="s">
        <v>1292</v>
      </c>
      <c r="C35" s="175"/>
    </row>
    <row r="36" spans="1:6" ht="21" x14ac:dyDescent="0.35">
      <c r="A36" s="155">
        <v>26</v>
      </c>
      <c r="B36" s="156" t="s">
        <v>1293</v>
      </c>
      <c r="C36" s="176"/>
      <c r="F36" s="168"/>
    </row>
    <row r="37" spans="1:6" x14ac:dyDescent="0.3">
      <c r="A37" s="149">
        <v>27</v>
      </c>
      <c r="B37" s="33" t="s">
        <v>1294</v>
      </c>
      <c r="C37" s="175"/>
      <c r="F37" s="33"/>
    </row>
    <row r="38" spans="1:6" x14ac:dyDescent="0.3">
      <c r="A38" s="155">
        <v>28</v>
      </c>
      <c r="B38" s="156" t="s">
        <v>1295</v>
      </c>
      <c r="C38" s="176"/>
    </row>
    <row r="39" spans="1:6" x14ac:dyDescent="0.3">
      <c r="A39" s="149">
        <v>29</v>
      </c>
      <c r="B39" s="33" t="s">
        <v>1296</v>
      </c>
      <c r="C39" s="175"/>
      <c r="F39" s="51"/>
    </row>
    <row r="40" spans="1:6" x14ac:dyDescent="0.3">
      <c r="A40" s="155">
        <v>30</v>
      </c>
      <c r="B40" s="156" t="s">
        <v>1297</v>
      </c>
      <c r="C40" s="176"/>
      <c r="F40" s="101"/>
    </row>
    <row r="41" spans="1:6" x14ac:dyDescent="0.3">
      <c r="A41" s="149">
        <v>31</v>
      </c>
      <c r="B41" s="33" t="s">
        <v>1298</v>
      </c>
      <c r="C41" s="175"/>
      <c r="F41" s="101"/>
    </row>
    <row r="42" spans="1:6" x14ac:dyDescent="0.3">
      <c r="A42" s="155">
        <v>32</v>
      </c>
      <c r="B42" s="156" t="s">
        <v>1299</v>
      </c>
      <c r="C42" s="176"/>
      <c r="F42" s="101"/>
    </row>
    <row r="43" spans="1:6" x14ac:dyDescent="0.3">
      <c r="A43" s="149">
        <v>33</v>
      </c>
      <c r="B43" s="33" t="s">
        <v>1300</v>
      </c>
      <c r="C43" s="175"/>
    </row>
    <row r="44" spans="1:6" x14ac:dyDescent="0.3">
      <c r="A44" s="155">
        <v>34</v>
      </c>
      <c r="B44" s="156" t="s">
        <v>1301</v>
      </c>
      <c r="C44" s="176"/>
    </row>
    <row r="45" spans="1:6" x14ac:dyDescent="0.3">
      <c r="A45" s="149">
        <v>35</v>
      </c>
      <c r="B45" s="33" t="s">
        <v>1302</v>
      </c>
      <c r="C45" s="175"/>
    </row>
    <row r="46" spans="1:6" x14ac:dyDescent="0.3">
      <c r="A46" s="155">
        <v>36</v>
      </c>
      <c r="B46" s="156" t="s">
        <v>1303</v>
      </c>
      <c r="C46" s="176"/>
    </row>
    <row r="47" spans="1:6" x14ac:dyDescent="0.3">
      <c r="A47" s="149">
        <v>37</v>
      </c>
      <c r="B47" s="33" t="s">
        <v>1304</v>
      </c>
      <c r="C47" s="175"/>
    </row>
    <row r="48" spans="1:6" x14ac:dyDescent="0.3">
      <c r="A48" s="155">
        <v>38</v>
      </c>
      <c r="B48" s="156" t="s">
        <v>1590</v>
      </c>
      <c r="C48" s="176"/>
    </row>
    <row r="49" spans="1:3" x14ac:dyDescent="0.3">
      <c r="A49" s="149">
        <v>39</v>
      </c>
      <c r="B49" s="33" t="s">
        <v>1305</v>
      </c>
      <c r="C49" s="175"/>
    </row>
    <row r="50" spans="1:3" x14ac:dyDescent="0.3">
      <c r="A50" s="155">
        <v>40</v>
      </c>
      <c r="B50" s="156" t="s">
        <v>1306</v>
      </c>
      <c r="C50" s="176"/>
    </row>
    <row r="51" spans="1:3" x14ac:dyDescent="0.3">
      <c r="A51" s="149">
        <v>41</v>
      </c>
      <c r="B51" s="33" t="s">
        <v>1307</v>
      </c>
      <c r="C51" s="175"/>
    </row>
    <row r="52" spans="1:3" x14ac:dyDescent="0.3">
      <c r="A52" s="155">
        <v>42</v>
      </c>
      <c r="B52" s="156" t="s">
        <v>1308</v>
      </c>
      <c r="C52" s="176"/>
    </row>
    <row r="53" spans="1:3" x14ac:dyDescent="0.3">
      <c r="A53" s="149">
        <v>43</v>
      </c>
      <c r="B53" s="33" t="s">
        <v>1309</v>
      </c>
      <c r="C53" s="175"/>
    </row>
    <row r="54" spans="1:3" x14ac:dyDescent="0.3">
      <c r="A54" s="155">
        <v>44</v>
      </c>
      <c r="B54" s="156" t="s">
        <v>1310</v>
      </c>
      <c r="C54" s="176"/>
    </row>
    <row r="55" spans="1:3" ht="20.25" thickBot="1" x14ac:dyDescent="0.35">
      <c r="A55" s="136">
        <v>45</v>
      </c>
      <c r="B55" s="169" t="s">
        <v>1311</v>
      </c>
      <c r="C55" s="178"/>
    </row>
    <row r="58" spans="1:3" x14ac:dyDescent="0.3">
      <c r="A58" s="131"/>
      <c r="B58" s="170" t="s">
        <v>797</v>
      </c>
      <c r="C58" s="131"/>
    </row>
    <row r="59" spans="1:3" ht="32.25" x14ac:dyDescent="0.3">
      <c r="B59" s="171" t="s">
        <v>1388</v>
      </c>
    </row>
  </sheetData>
  <sheetProtection algorithmName="SHA-512" hashValue="myq/qNPUmP4DwFlLPbw4yj+BmuHbk9bwsZ+FRx1Hi66Da+puP5ii2+/UsuTIUNHUMs0+HKYK7JsdW8QEa4TC1w==" saltValue="ykKt+i1Fbr6Gz6/MNXOocg==" spinCount="100000" sheet="1" objects="1" scenarios="1"/>
  <mergeCells count="2">
    <mergeCell ref="A6:C6"/>
    <mergeCell ref="A7:C7"/>
  </mergeCells>
  <dataValidations count="1">
    <dataValidation type="list" allowBlank="1" showInputMessage="1" showErrorMessage="1" sqref="C11:C55" xr:uid="{40CF066C-BD21-1A4E-B8E6-266476FA2479}">
      <formula1>"1,2,3,4,5,6"</formula1>
    </dataValidation>
  </dataValidation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0A9E9-EC31-6045-B1F8-C281A7E1D81F}">
  <sheetPr>
    <tabColor theme="6" tint="-0.249977111117893"/>
  </sheetPr>
  <dimension ref="A1:AE34"/>
  <sheetViews>
    <sheetView workbookViewId="0">
      <selection activeCell="C11" sqref="C11"/>
    </sheetView>
  </sheetViews>
  <sheetFormatPr defaultColWidth="10.875" defaultRowHeight="19.5" x14ac:dyDescent="0.3"/>
  <cols>
    <col min="1" max="1" width="8.375" style="28" customWidth="1"/>
    <col min="2" max="2" width="106" style="28" customWidth="1"/>
    <col min="3" max="3" width="12.5" style="28" customWidth="1"/>
    <col min="4" max="5" width="10.875" style="28"/>
    <col min="6" max="6" width="54.125" style="28" customWidth="1"/>
    <col min="7" max="9" width="12.5" style="28" customWidth="1"/>
    <col min="10" max="10" width="75.375" style="28" bestFit="1" customWidth="1"/>
    <col min="11" max="11" width="97.125"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60" t="s">
        <v>859</v>
      </c>
      <c r="F3" s="130"/>
      <c r="G3" s="130"/>
      <c r="H3" s="130"/>
      <c r="I3" s="130"/>
      <c r="J3" s="130"/>
      <c r="AE3" s="61"/>
    </row>
    <row r="4" spans="1:31" x14ac:dyDescent="0.3">
      <c r="A4" s="257"/>
    </row>
    <row r="5" spans="1:31" x14ac:dyDescent="0.3">
      <c r="A5" s="131" t="s">
        <v>818</v>
      </c>
      <c r="B5" s="132"/>
      <c r="C5" s="132"/>
    </row>
    <row r="6" spans="1:31" ht="35.1" customHeight="1" x14ac:dyDescent="0.3">
      <c r="A6" s="339" t="s">
        <v>249</v>
      </c>
      <c r="B6" s="340"/>
      <c r="C6" s="341"/>
    </row>
    <row r="7" spans="1:31" x14ac:dyDescent="0.3">
      <c r="A7" s="342" t="s">
        <v>874</v>
      </c>
      <c r="B7" s="343"/>
      <c r="C7" s="344"/>
    </row>
    <row r="8" spans="1:31" ht="20.25" thickBot="1" x14ac:dyDescent="0.35"/>
    <row r="9" spans="1:31" x14ac:dyDescent="0.3">
      <c r="A9" s="138"/>
      <c r="B9" s="139"/>
      <c r="C9" s="140"/>
      <c r="F9" s="139" t="s">
        <v>132</v>
      </c>
      <c r="G9" s="141"/>
      <c r="H9" s="142" t="s">
        <v>867</v>
      </c>
      <c r="I9" s="143"/>
      <c r="J9" s="139"/>
      <c r="K9" s="139"/>
    </row>
    <row r="10" spans="1:31" ht="75" x14ac:dyDescent="0.3">
      <c r="A10" s="144" t="s">
        <v>1</v>
      </c>
      <c r="B10" s="144" t="s">
        <v>2</v>
      </c>
      <c r="C10" s="145" t="s">
        <v>820</v>
      </c>
      <c r="F10" s="146" t="s">
        <v>133</v>
      </c>
      <c r="G10" s="147" t="s">
        <v>134</v>
      </c>
      <c r="H10" s="147" t="s">
        <v>135</v>
      </c>
      <c r="I10" s="148" t="s">
        <v>317</v>
      </c>
      <c r="J10" s="146" t="s">
        <v>136</v>
      </c>
      <c r="K10" s="146" t="s">
        <v>1448</v>
      </c>
    </row>
    <row r="11" spans="1:31" s="33" customFormat="1" x14ac:dyDescent="0.25">
      <c r="A11" s="149">
        <v>1</v>
      </c>
      <c r="B11" s="33" t="s">
        <v>875</v>
      </c>
      <c r="C11" s="175"/>
      <c r="F11" s="150" t="s">
        <v>1633</v>
      </c>
      <c r="G11" s="151" t="str" cm="1">
        <f t="array" ref="G11">IF(COUNTA(C$11:C$230)&gt;0,SUM(SUMIF(A$11:A$230,{1,5,9,13,17},C$11:C$230)),"")</f>
        <v/>
      </c>
      <c r="H11" s="152" t="str">
        <f t="shared" ref="H11:H18" ca="1" si="0">IF(G11="","",(G11-VLOOKUP(F11,INDIRECT($H$9),2, FALSE))/VLOOKUP(F11,INDIRECT($H$9),3, FALSE))</f>
        <v/>
      </c>
      <c r="I11" s="198" t="str" cm="1">
        <f t="array" aca="1" ref="I11" ca="1">_xlfn.IFS(H11="","",H11&lt;-1,"Low",AND(-1&lt;H11, H11&lt;1),"Average",H11&gt;1, "High")</f>
        <v/>
      </c>
      <c r="J11" s="154" t="s">
        <v>895</v>
      </c>
      <c r="K11" s="154" t="s">
        <v>1509</v>
      </c>
      <c r="AE11" s="62"/>
    </row>
    <row r="12" spans="1:31" s="33" customFormat="1" x14ac:dyDescent="0.25">
      <c r="A12" s="155">
        <v>2</v>
      </c>
      <c r="B12" s="156" t="s">
        <v>876</v>
      </c>
      <c r="C12" s="176"/>
      <c r="F12" s="157" t="s">
        <v>1634</v>
      </c>
      <c r="G12" s="158" t="str" cm="1">
        <f t="array" ref="G12">IF(COUNTA(C$11:C$230)&gt;0,SUM(SUMIF(A$11:A$230,{3,7,11,15,19},C$11:C$230)),"")</f>
        <v/>
      </c>
      <c r="H12" s="159" t="str">
        <f t="shared" ca="1" si="0"/>
        <v/>
      </c>
      <c r="I12" s="190" t="str" cm="1">
        <f t="array" aca="1" ref="I12" ca="1">_xlfn.IFS(H12="","",H12&lt;-1,"Low",AND(-1&lt;H12, H12&lt;1),"Average",H12&gt;1, "High")</f>
        <v/>
      </c>
      <c r="J12" s="161" t="s">
        <v>896</v>
      </c>
      <c r="K12" s="161" t="s">
        <v>1510</v>
      </c>
      <c r="AE12" s="62"/>
    </row>
    <row r="13" spans="1:31" s="33" customFormat="1" x14ac:dyDescent="0.25">
      <c r="A13" s="149">
        <v>3</v>
      </c>
      <c r="B13" s="33" t="s">
        <v>877</v>
      </c>
      <c r="C13" s="175"/>
      <c r="F13" s="157" t="s">
        <v>1635</v>
      </c>
      <c r="G13" s="158" t="str" cm="1">
        <f t="array" ref="G13">IF(COUNTA(C$11:C$230)&gt;0,SUM(SUMIF(A$11:A$230,{2,6,10,14,18},C$11:C$230)),"")</f>
        <v/>
      </c>
      <c r="H13" s="159" t="str">
        <f t="shared" ca="1" si="0"/>
        <v/>
      </c>
      <c r="I13" s="190" t="str" cm="1">
        <f t="array" aca="1" ref="I13" ca="1">_xlfn.IFS(H13="","",H13&lt;-1,"Low",AND(-1&lt;H13, H13&lt;1),"Average",H13&gt;1, "High")</f>
        <v/>
      </c>
      <c r="J13" s="161" t="s">
        <v>897</v>
      </c>
      <c r="K13" s="161" t="s">
        <v>1511</v>
      </c>
      <c r="AE13" s="62"/>
    </row>
    <row r="14" spans="1:31" s="33" customFormat="1" x14ac:dyDescent="0.25">
      <c r="A14" s="155">
        <v>4</v>
      </c>
      <c r="B14" s="156" t="s">
        <v>878</v>
      </c>
      <c r="C14" s="176"/>
      <c r="F14" s="157" t="s">
        <v>1636</v>
      </c>
      <c r="G14" s="158" t="str" cm="1">
        <f t="array" ref="G14">IF(COUNTA(C$11:C$230)&gt;0,SUM(SUMIF(A$11:A$230,{4,8,12,16,20},C$11:C$230)),"")</f>
        <v/>
      </c>
      <c r="H14" s="159" t="str">
        <f t="shared" ca="1" si="0"/>
        <v/>
      </c>
      <c r="I14" s="190" t="str" cm="1">
        <f t="array" aca="1" ref="I14" ca="1">_xlfn.IFS(H14="","",H14&lt;-1,"Low",AND(-1&lt;H14, H14&lt;1),"Average",H14&gt;1, "High")</f>
        <v/>
      </c>
      <c r="J14" s="161" t="s">
        <v>898</v>
      </c>
      <c r="K14" s="161" t="s">
        <v>1512</v>
      </c>
      <c r="AE14" s="62"/>
    </row>
    <row r="15" spans="1:31" s="33" customFormat="1" x14ac:dyDescent="0.25">
      <c r="A15" s="149">
        <v>5</v>
      </c>
      <c r="B15" s="33" t="s">
        <v>879</v>
      </c>
      <c r="C15" s="175"/>
      <c r="F15" s="224" t="s">
        <v>137</v>
      </c>
      <c r="G15" s="225"/>
      <c r="H15" s="226"/>
      <c r="I15" s="227"/>
      <c r="J15" s="228"/>
      <c r="K15" s="229" t="s">
        <v>1598</v>
      </c>
      <c r="AE15" s="62"/>
    </row>
    <row r="16" spans="1:31" s="33" customFormat="1" x14ac:dyDescent="0.25">
      <c r="A16" s="155">
        <v>6</v>
      </c>
      <c r="B16" s="156" t="s">
        <v>880</v>
      </c>
      <c r="C16" s="176"/>
      <c r="F16" s="157" t="s">
        <v>1637</v>
      </c>
      <c r="G16" s="158" t="str" cm="1">
        <f t="array" ref="G16">IF(SUM(G$11:G$14)&gt;0,SUM(SUMIF(F$11:F$14,{"Negative-Cognitive empathy","Positive-Cognitive empathy"},G$11:G$14)),"")</f>
        <v/>
      </c>
      <c r="H16" s="159" t="str">
        <f t="shared" ca="1" si="0"/>
        <v/>
      </c>
      <c r="I16" s="190" t="str" cm="1">
        <f t="array" aca="1" ref="I16" ca="1">_xlfn.IFS(H16="","",H16&lt;-1,"Low",AND(-1&lt;H16, H16&lt;1),"Average",H16&gt;1, "High")</f>
        <v/>
      </c>
      <c r="J16" s="161" t="s">
        <v>899</v>
      </c>
      <c r="K16" s="161" t="s">
        <v>1639</v>
      </c>
      <c r="AE16" s="62"/>
    </row>
    <row r="17" spans="1:31" s="33" customFormat="1" x14ac:dyDescent="0.25">
      <c r="A17" s="149">
        <v>7</v>
      </c>
      <c r="B17" s="33" t="s">
        <v>881</v>
      </c>
      <c r="C17" s="175"/>
      <c r="F17" s="157" t="s">
        <v>1638</v>
      </c>
      <c r="G17" s="158" t="str" cm="1">
        <f t="array" ref="G17">IF(SUM(G$11:G$14)&gt;0,SUM(SUMIF(F$11:F$14,{"Negative-Affective empathy","Positive-Affective empathy"},G$11:G$14)),"")</f>
        <v/>
      </c>
      <c r="H17" s="159" t="str">
        <f t="shared" ca="1" si="0"/>
        <v/>
      </c>
      <c r="I17" s="190" t="str" cm="1">
        <f t="array" aca="1" ref="I17" ca="1">_xlfn.IFS(H17="","",H17&lt;-1,"Low",AND(-1&lt;H17, H17&lt;1),"Average",H17&gt;1, "High")</f>
        <v/>
      </c>
      <c r="J17" s="161" t="s">
        <v>900</v>
      </c>
      <c r="K17" s="161" t="s">
        <v>1640</v>
      </c>
      <c r="AE17" s="62"/>
    </row>
    <row r="18" spans="1:31" s="33" customFormat="1" x14ac:dyDescent="0.25">
      <c r="A18" s="155">
        <v>8</v>
      </c>
      <c r="B18" s="156" t="s">
        <v>882</v>
      </c>
      <c r="C18" s="176"/>
      <c r="F18" s="162" t="s">
        <v>165</v>
      </c>
      <c r="G18" s="135" t="str" cm="1">
        <f t="array" ref="G18">IF(SUM(G$11:G$14)&gt;0,SUM(SUMIF(F$11:F$14,{"Negative-Cognitive empathy","Positive-Cognitive empathy","Negative-Affective empathy","Positive-Affective empathy"},G$11:G$14)),"")</f>
        <v/>
      </c>
      <c r="H18" s="163" t="str">
        <f t="shared" ca="1" si="0"/>
        <v/>
      </c>
      <c r="I18" s="137" t="str" cm="1">
        <f t="array" aca="1" ref="I18" ca="1">_xlfn.IFS(H18="","",H18&lt;-1,"Low",AND(-1&lt;H18, H18&lt;1),"Average",H18&gt;1, "High")</f>
        <v/>
      </c>
      <c r="J18" s="165" t="s">
        <v>901</v>
      </c>
      <c r="K18" s="165" t="s">
        <v>1641</v>
      </c>
      <c r="AE18" s="62"/>
    </row>
    <row r="19" spans="1:31" s="33" customFormat="1" x14ac:dyDescent="0.25">
      <c r="A19" s="149">
        <v>9</v>
      </c>
      <c r="B19" s="33" t="s">
        <v>883</v>
      </c>
      <c r="C19" s="175"/>
      <c r="F19" s="28"/>
      <c r="G19" s="28"/>
      <c r="H19" s="28"/>
      <c r="I19" s="28"/>
      <c r="J19" s="28"/>
      <c r="K19" s="28"/>
      <c r="AE19" s="62"/>
    </row>
    <row r="20" spans="1:31" s="33" customFormat="1" x14ac:dyDescent="0.25">
      <c r="A20" s="155">
        <v>10</v>
      </c>
      <c r="B20" s="156" t="s">
        <v>884</v>
      </c>
      <c r="C20" s="176"/>
      <c r="F20" s="28"/>
      <c r="G20" s="28"/>
      <c r="H20" s="28"/>
      <c r="I20" s="28"/>
      <c r="J20" s="28"/>
      <c r="K20" s="28"/>
      <c r="AE20" s="62"/>
    </row>
    <row r="21" spans="1:31" s="33" customFormat="1" ht="21" x14ac:dyDescent="0.35">
      <c r="A21" s="149">
        <v>11</v>
      </c>
      <c r="B21" s="33" t="s">
        <v>885</v>
      </c>
      <c r="C21" s="175"/>
      <c r="F21" s="166" t="s">
        <v>237</v>
      </c>
      <c r="G21" s="132"/>
      <c r="H21" s="132"/>
      <c r="I21" s="132"/>
      <c r="J21" s="132"/>
      <c r="K21" s="132"/>
      <c r="AE21" s="62"/>
    </row>
    <row r="22" spans="1:31" s="33" customFormat="1" x14ac:dyDescent="0.25">
      <c r="A22" s="155">
        <v>12</v>
      </c>
      <c r="B22" s="156" t="s">
        <v>886</v>
      </c>
      <c r="C22" s="176"/>
      <c r="F22" s="184" t="s">
        <v>1125</v>
      </c>
      <c r="AE22" s="62"/>
    </row>
    <row r="23" spans="1:31" s="33" customFormat="1" x14ac:dyDescent="0.25">
      <c r="A23" s="149">
        <v>13</v>
      </c>
      <c r="B23" s="33" t="s">
        <v>887</v>
      </c>
      <c r="C23" s="175"/>
      <c r="F23" s="266"/>
      <c r="G23" s="28"/>
      <c r="H23" s="28"/>
      <c r="I23" s="28"/>
      <c r="J23" s="28"/>
      <c r="K23" s="28"/>
      <c r="AE23" s="62"/>
    </row>
    <row r="24" spans="1:31" s="33" customFormat="1" x14ac:dyDescent="0.25">
      <c r="A24" s="155">
        <v>14</v>
      </c>
      <c r="B24" s="156" t="s">
        <v>888</v>
      </c>
      <c r="C24" s="176"/>
      <c r="F24" s="188" t="s">
        <v>150</v>
      </c>
      <c r="G24" s="28"/>
      <c r="H24" s="28"/>
      <c r="I24" s="28"/>
      <c r="J24" s="28"/>
      <c r="K24" s="28"/>
      <c r="AE24" s="62"/>
    </row>
    <row r="25" spans="1:31" s="33" customFormat="1" x14ac:dyDescent="0.25">
      <c r="A25" s="149">
        <v>15</v>
      </c>
      <c r="B25" s="33" t="s">
        <v>889</v>
      </c>
      <c r="C25" s="175"/>
      <c r="F25" s="185" t="s">
        <v>902</v>
      </c>
      <c r="G25" s="28"/>
      <c r="H25" s="28"/>
      <c r="I25" s="28"/>
      <c r="J25" s="28"/>
      <c r="K25" s="28"/>
      <c r="AE25" s="62"/>
    </row>
    <row r="26" spans="1:31" s="33" customFormat="1" x14ac:dyDescent="0.25">
      <c r="A26" s="155">
        <v>16</v>
      </c>
      <c r="B26" s="156" t="s">
        <v>890</v>
      </c>
      <c r="C26" s="176"/>
      <c r="F26" s="185" t="s">
        <v>903</v>
      </c>
      <c r="G26" s="28"/>
      <c r="H26" s="28"/>
      <c r="I26" s="28"/>
      <c r="J26" s="28"/>
      <c r="K26" s="28"/>
      <c r="AE26" s="62"/>
    </row>
    <row r="27" spans="1:31" s="33" customFormat="1" x14ac:dyDescent="0.25">
      <c r="A27" s="149">
        <v>17</v>
      </c>
      <c r="B27" s="33" t="s">
        <v>891</v>
      </c>
      <c r="C27" s="175"/>
      <c r="F27" s="185" t="s">
        <v>904</v>
      </c>
      <c r="G27" s="28"/>
      <c r="H27" s="28"/>
      <c r="I27" s="28"/>
      <c r="J27" s="28"/>
      <c r="K27" s="28"/>
      <c r="AE27" s="62"/>
    </row>
    <row r="28" spans="1:31" s="33" customFormat="1" x14ac:dyDescent="0.25">
      <c r="A28" s="155">
        <v>18</v>
      </c>
      <c r="B28" s="156" t="s">
        <v>892</v>
      </c>
      <c r="C28" s="176"/>
      <c r="AE28" s="62"/>
    </row>
    <row r="29" spans="1:31" x14ac:dyDescent="0.3">
      <c r="A29" s="149">
        <v>19</v>
      </c>
      <c r="B29" s="33" t="s">
        <v>893</v>
      </c>
      <c r="C29" s="175"/>
    </row>
    <row r="30" spans="1:31" ht="20.25" thickBot="1" x14ac:dyDescent="0.35">
      <c r="A30" s="173">
        <v>20</v>
      </c>
      <c r="B30" s="174" t="s">
        <v>894</v>
      </c>
      <c r="C30" s="177"/>
    </row>
    <row r="33" spans="1:3" x14ac:dyDescent="0.3">
      <c r="A33" s="131"/>
      <c r="B33" s="170" t="s">
        <v>797</v>
      </c>
      <c r="C33" s="131"/>
    </row>
    <row r="34" spans="1:3" ht="32.25" x14ac:dyDescent="0.3">
      <c r="B34" s="171" t="s">
        <v>1168</v>
      </c>
    </row>
  </sheetData>
  <sheetProtection algorithmName="SHA-512" hashValue="8BDVIVfOhrN3RdXigeLWW3AlIY2gCDJFUwGX5Nkbmo2VenGUTHtEfB+PckVfo7APya8XCOveyIl16QYI6PP5Rg==" saltValue="pwesfNHVGNEsrrIyOBySwQ==" spinCount="100000" sheet="1" objects="1" scenarios="1"/>
  <mergeCells count="2">
    <mergeCell ref="A6:C6"/>
    <mergeCell ref="A7:C7"/>
  </mergeCells>
  <dataValidations count="1">
    <dataValidation type="list" allowBlank="1" showInputMessage="1" showErrorMessage="1" sqref="C11:C30" xr:uid="{A5C12C31-E3A8-D644-B79B-BACA0D8D6E59}">
      <formula1>"1,2,3,4,5"</formula1>
    </dataValidation>
  </dataValidation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36AED-F3D9-364D-BBB9-8579D6C34CFA}">
  <sheetPr>
    <tabColor theme="7"/>
  </sheetPr>
  <dimension ref="A1:AE37"/>
  <sheetViews>
    <sheetView workbookViewId="0">
      <selection activeCell="C12" sqref="C12"/>
    </sheetView>
  </sheetViews>
  <sheetFormatPr defaultColWidth="10.875" defaultRowHeight="19.5" x14ac:dyDescent="0.3"/>
  <cols>
    <col min="1" max="1" width="8.375" style="28" customWidth="1"/>
    <col min="2" max="2" width="106" style="28" customWidth="1"/>
    <col min="3" max="3" width="12.5" style="28" customWidth="1"/>
    <col min="4" max="4" width="10.875" style="103"/>
    <col min="5" max="5" width="10.875" style="28"/>
    <col min="6" max="6" width="54.125" style="28" customWidth="1"/>
    <col min="7" max="8" width="12.5" style="28" customWidth="1"/>
    <col min="9" max="9" width="34" style="28" bestFit="1" customWidth="1"/>
    <col min="10" max="10" width="26.125" style="28" bestFit="1" customWidth="1"/>
    <col min="11" max="11" width="47.375" style="28" bestFit="1" customWidth="1"/>
    <col min="12" max="30" width="10.875" style="28"/>
    <col min="31" max="31" width="10.875" style="66"/>
    <col min="32" max="16384" width="10.875" style="28"/>
  </cols>
  <sheetData>
    <row r="1" spans="1:31" s="20" customFormat="1" x14ac:dyDescent="0.3">
      <c r="D1" s="267"/>
      <c r="AE1" s="58"/>
    </row>
    <row r="2" spans="1:31" s="20" customFormat="1" ht="45.75" x14ac:dyDescent="0.3">
      <c r="A2" s="59" t="s">
        <v>1106</v>
      </c>
      <c r="D2" s="267"/>
      <c r="AE2" s="58"/>
    </row>
    <row r="3" spans="1:31" s="23" customFormat="1" ht="31.5" x14ac:dyDescent="0.5">
      <c r="A3" s="172" t="s">
        <v>945</v>
      </c>
      <c r="D3" s="130"/>
      <c r="F3" s="130"/>
      <c r="G3" s="130"/>
      <c r="H3" s="130"/>
      <c r="I3" s="130"/>
      <c r="J3" s="130"/>
      <c r="AE3" s="61"/>
    </row>
    <row r="5" spans="1:31" x14ac:dyDescent="0.3">
      <c r="A5" s="131" t="s">
        <v>818</v>
      </c>
      <c r="B5" s="132"/>
      <c r="C5" s="132"/>
    </row>
    <row r="6" spans="1:31" s="133" customFormat="1" ht="35.1" customHeight="1" x14ac:dyDescent="0.25">
      <c r="A6" s="351" t="s">
        <v>1212</v>
      </c>
      <c r="B6" s="352"/>
      <c r="C6" s="353"/>
      <c r="D6" s="268"/>
      <c r="AE6" s="134"/>
    </row>
    <row r="7" spans="1:31" s="133" customFormat="1" x14ac:dyDescent="0.25">
      <c r="A7" s="354" t="s">
        <v>1115</v>
      </c>
      <c r="B7" s="355"/>
      <c r="C7" s="356"/>
      <c r="D7" s="268"/>
      <c r="AE7" s="134"/>
    </row>
    <row r="8" spans="1:31" ht="20.25" thickBot="1" x14ac:dyDescent="0.35"/>
    <row r="9" spans="1:31" x14ac:dyDescent="0.3">
      <c r="A9" s="138"/>
      <c r="B9" s="139"/>
      <c r="C9" s="140"/>
      <c r="F9" s="139" t="s">
        <v>132</v>
      </c>
      <c r="G9" s="141"/>
      <c r="H9" s="142" t="s">
        <v>1004</v>
      </c>
      <c r="I9" s="143"/>
      <c r="J9" s="139"/>
      <c r="K9" s="139"/>
    </row>
    <row r="10" spans="1:31" ht="75" x14ac:dyDescent="0.3">
      <c r="A10" s="217" t="s">
        <v>1</v>
      </c>
      <c r="B10" s="131" t="s">
        <v>2</v>
      </c>
      <c r="C10" s="218" t="s">
        <v>820</v>
      </c>
      <c r="D10" s="269" t="s">
        <v>1619</v>
      </c>
      <c r="F10" s="146" t="s">
        <v>133</v>
      </c>
      <c r="G10" s="147" t="s">
        <v>134</v>
      </c>
      <c r="H10" s="147" t="s">
        <v>135</v>
      </c>
      <c r="I10" s="148" t="s">
        <v>317</v>
      </c>
      <c r="J10" s="146" t="s">
        <v>136</v>
      </c>
      <c r="K10" s="146" t="s">
        <v>1448</v>
      </c>
    </row>
    <row r="11" spans="1:31" s="33" customFormat="1" x14ac:dyDescent="0.25">
      <c r="A11" s="270" t="s">
        <v>1023</v>
      </c>
      <c r="B11" s="271"/>
      <c r="C11" s="272"/>
      <c r="D11" s="209"/>
      <c r="F11" s="150" t="s">
        <v>1023</v>
      </c>
      <c r="G11" s="151" t="str" cm="1">
        <f t="array" ref="G11">IF(COUNTA(C$11:C$230)&gt;0,SUM(SUMIF(A$11:A$230,{1,2,3,4,5,6},D$11:D$230)),"")</f>
        <v/>
      </c>
      <c r="H11" s="152" t="s">
        <v>740</v>
      </c>
      <c r="I11" s="198" t="str" cm="1">
        <f t="array" ref="I11">_xlfn.IFS(G11="","",G11&lt;=3,"Not elevated ",G11&gt;=4,"Symptoms highly consistent with ADHD")</f>
        <v/>
      </c>
      <c r="J11" s="273" t="s">
        <v>1116</v>
      </c>
      <c r="K11" s="273" t="s">
        <v>1477</v>
      </c>
      <c r="AE11" s="62"/>
    </row>
    <row r="12" spans="1:31" s="33" customFormat="1" x14ac:dyDescent="0.25">
      <c r="A12" s="149">
        <v>1</v>
      </c>
      <c r="B12" s="33" t="s">
        <v>1005</v>
      </c>
      <c r="C12" s="175"/>
      <c r="D12" s="209" t="str" cm="1">
        <f t="array" ref="D12">_xlfn.IFS(C12="","",ISNUMBER(MATCH(A12,{1,2,3,9,12,16,18},0)), IF(C12&gt;=3,1,0),ISNUMBER(MATCH(A12,{4,5,6,7,8,10,11,13,14,15,17},0)), IF(C12&gt;=4,1,0))</f>
        <v/>
      </c>
      <c r="F12" s="157" t="s">
        <v>1024</v>
      </c>
      <c r="G12" s="158" t="str" cm="1">
        <f t="array" ref="G12">IF(COUNTA(C$11:C$230)&gt;0,SUM(SUMIF(A$11:A$230,{7,8,9,10,11,12,13,14,15,16,17,18},D$11:D$230)),"")</f>
        <v/>
      </c>
      <c r="H12" s="159" t="s">
        <v>740</v>
      </c>
      <c r="I12" s="190" t="s">
        <v>1102</v>
      </c>
      <c r="J12" s="274" t="s">
        <v>1116</v>
      </c>
      <c r="K12" s="274" t="s">
        <v>1513</v>
      </c>
      <c r="AE12" s="62"/>
    </row>
    <row r="13" spans="1:31" s="33" customFormat="1" x14ac:dyDescent="0.25">
      <c r="A13" s="155">
        <v>2</v>
      </c>
      <c r="B13" s="156" t="s">
        <v>1006</v>
      </c>
      <c r="C13" s="176"/>
      <c r="D13" s="209" t="str" cm="1">
        <f t="array" ref="D13">_xlfn.IFS(C13="","",ISNUMBER(MATCH(A13,{1,2,3,9,12,16,18},0)), IF(C13&gt;=3,1,0),ISNUMBER(MATCH(A13,{4,5,6,7,8,10,11,13,14,15,17},0)), IF(C13&gt;=4,1,0))</f>
        <v/>
      </c>
      <c r="F13" s="224" t="s">
        <v>1003</v>
      </c>
      <c r="G13" s="225"/>
      <c r="H13" s="226" t="str">
        <f ca="1">IF(G13="","",(G13-VLOOKUP(F13,INDIRECT($H$9),2, FALSE))/VLOOKUP(F13,INDIRECT($H$9),3, FALSE))</f>
        <v/>
      </c>
      <c r="I13" s="227"/>
      <c r="J13" s="275"/>
      <c r="K13" s="229" t="s">
        <v>1598</v>
      </c>
      <c r="AE13" s="62"/>
    </row>
    <row r="14" spans="1:31" s="33" customFormat="1" x14ac:dyDescent="0.25">
      <c r="A14" s="149">
        <v>3</v>
      </c>
      <c r="B14" s="33" t="s">
        <v>1007</v>
      </c>
      <c r="C14" s="175"/>
      <c r="D14" s="209" t="str" cm="1">
        <f t="array" ref="D14">_xlfn.IFS(C14="","",ISNUMBER(MATCH(A14,{1,2,3,9,12,16,18},0)), IF(C14&gt;=3,1,0),ISNUMBER(MATCH(A14,{4,5,6,7,8,10,11,13,14,15,17},0)), IF(C14&gt;=4,1,0))</f>
        <v/>
      </c>
      <c r="F14" s="162" t="s">
        <v>279</v>
      </c>
      <c r="G14" s="135" t="str" cm="1">
        <f t="array" ref="G14">IF(SUM(G$11:G$12)&gt;0,SUM(SUMIF(F$11:F$12,{"Part A","Part B"},G$11:G$12)),"")</f>
        <v/>
      </c>
      <c r="H14" s="163" t="s">
        <v>740</v>
      </c>
      <c r="I14" s="137" t="s">
        <v>1102</v>
      </c>
      <c r="J14" s="165" t="s">
        <v>1116</v>
      </c>
      <c r="K14" s="165" t="s">
        <v>1628</v>
      </c>
      <c r="AE14" s="62"/>
    </row>
    <row r="15" spans="1:31" s="33" customFormat="1" x14ac:dyDescent="0.25">
      <c r="A15" s="155">
        <v>4</v>
      </c>
      <c r="B15" s="156" t="s">
        <v>1008</v>
      </c>
      <c r="C15" s="176"/>
      <c r="D15" s="209" t="str" cm="1">
        <f t="array" ref="D15">_xlfn.IFS(C15="","",ISNUMBER(MATCH(A15,{1,2,3,9,12,16,18},0)), IF(C15&gt;=3,1,0),ISNUMBER(MATCH(A15,{4,5,6,7,8,10,11,13,14,15,17},0)), IF(C15&gt;=4,1,0))</f>
        <v/>
      </c>
      <c r="F15" s="28"/>
      <c r="G15" s="28"/>
      <c r="H15" s="28"/>
      <c r="I15" s="28"/>
      <c r="J15" s="28"/>
      <c r="K15" s="28"/>
      <c r="AE15" s="62"/>
    </row>
    <row r="16" spans="1:31" s="33" customFormat="1" x14ac:dyDescent="0.25">
      <c r="A16" s="149">
        <v>5</v>
      </c>
      <c r="B16" s="33" t="s">
        <v>1009</v>
      </c>
      <c r="C16" s="175"/>
      <c r="D16" s="209" t="str" cm="1">
        <f t="array" ref="D16">_xlfn.IFS(C16="","",ISNUMBER(MATCH(A16,{1,2,3,9,12,16,18},0)), IF(C16&gt;=3,1,0),ISNUMBER(MATCH(A16,{4,5,6,7,8,10,11,13,14,15,17},0)), IF(C16&gt;=4,1,0))</f>
        <v/>
      </c>
      <c r="F16" s="28"/>
      <c r="G16" s="28"/>
      <c r="H16" s="28"/>
      <c r="I16" s="28"/>
      <c r="J16" s="28"/>
      <c r="K16" s="28"/>
      <c r="AE16" s="62"/>
    </row>
    <row r="17" spans="1:31" s="33" customFormat="1" ht="21" x14ac:dyDescent="0.35">
      <c r="A17" s="155">
        <v>6</v>
      </c>
      <c r="B17" s="156" t="s">
        <v>1010</v>
      </c>
      <c r="C17" s="176"/>
      <c r="D17" s="209" t="str" cm="1">
        <f t="array" ref="D17">_xlfn.IFS(C17="","",ISNUMBER(MATCH(A17,{1,2,3,9,12,16,18},0)), IF(C17&gt;=3,1,0),ISNUMBER(MATCH(A17,{4,5,6,7,8,10,11,13,14,15,17},0)), IF(C17&gt;=4,1,0))</f>
        <v/>
      </c>
      <c r="F17" s="166" t="s">
        <v>237</v>
      </c>
      <c r="G17" s="132"/>
      <c r="H17" s="132"/>
      <c r="I17" s="132"/>
      <c r="J17" s="132"/>
      <c r="K17" s="132"/>
      <c r="AE17" s="62"/>
    </row>
    <row r="18" spans="1:31" s="33" customFormat="1" x14ac:dyDescent="0.25">
      <c r="A18" s="270" t="s">
        <v>1024</v>
      </c>
      <c r="B18" s="271"/>
      <c r="C18" s="272"/>
      <c r="D18" s="209"/>
      <c r="F18" s="184" t="s">
        <v>1113</v>
      </c>
      <c r="G18" s="28"/>
      <c r="H18" s="28"/>
      <c r="I18" s="28"/>
      <c r="J18" s="28"/>
      <c r="K18" s="28"/>
      <c r="AE18" s="62"/>
    </row>
    <row r="19" spans="1:31" s="33" customFormat="1" x14ac:dyDescent="0.25">
      <c r="A19" s="149">
        <v>7</v>
      </c>
      <c r="B19" s="33" t="s">
        <v>1011</v>
      </c>
      <c r="C19" s="175"/>
      <c r="D19" s="209" t="str" cm="1">
        <f t="array" ref="D19">_xlfn.IFS(C19="","",ISNUMBER(MATCH(A19,{1,2,3,9,12,16,18},0)), IF(C19&gt;=3,1,0),ISNUMBER(MATCH(A19,{4,5,6,7,8,10,11,13,14,15,17},0)), IF(C19&gt;=4,1,0))</f>
        <v/>
      </c>
      <c r="G19" s="28"/>
      <c r="H19" s="28"/>
      <c r="I19" s="28"/>
      <c r="J19" s="28"/>
      <c r="K19" s="28"/>
      <c r="AE19" s="62"/>
    </row>
    <row r="20" spans="1:31" s="33" customFormat="1" x14ac:dyDescent="0.25">
      <c r="A20" s="155">
        <v>8</v>
      </c>
      <c r="B20" s="156" t="s">
        <v>1012</v>
      </c>
      <c r="C20" s="176"/>
      <c r="D20" s="209" t="str" cm="1">
        <f t="array" ref="D20">_xlfn.IFS(C20="","",ISNUMBER(MATCH(A20,{1,2,3,9,12,16,18},0)), IF(C20&gt;=3,1,0),ISNUMBER(MATCH(A20,{4,5,6,7,8,10,11,13,14,15,17},0)), IF(C20&gt;=4,1,0))</f>
        <v/>
      </c>
      <c r="F20" s="51" t="s">
        <v>1439</v>
      </c>
      <c r="G20" s="28"/>
      <c r="H20" s="28"/>
      <c r="I20" s="28"/>
      <c r="J20" s="28"/>
      <c r="K20" s="28"/>
      <c r="AE20" s="62"/>
    </row>
    <row r="21" spans="1:31" s="33" customFormat="1" x14ac:dyDescent="0.25">
      <c r="A21" s="149">
        <v>9</v>
      </c>
      <c r="B21" s="33" t="s">
        <v>1013</v>
      </c>
      <c r="C21" s="175"/>
      <c r="D21" s="209" t="str" cm="1">
        <f t="array" ref="D21">_xlfn.IFS(C21="","",ISNUMBER(MATCH(A21,{1,2,3,9,12,16,18},0)), IF(C21&gt;=3,1,0),ISNUMBER(MATCH(A21,{4,5,6,7,8,10,11,13,14,15,17},0)), IF(C21&gt;=4,1,0))</f>
        <v/>
      </c>
      <c r="F21" s="185" t="s">
        <v>1104</v>
      </c>
      <c r="G21" s="28"/>
      <c r="H21" s="28"/>
      <c r="I21" s="28"/>
      <c r="J21" s="28"/>
      <c r="K21" s="28"/>
      <c r="AE21" s="62"/>
    </row>
    <row r="22" spans="1:31" s="33" customFormat="1" x14ac:dyDescent="0.25">
      <c r="A22" s="155">
        <v>10</v>
      </c>
      <c r="B22" s="156" t="s">
        <v>1014</v>
      </c>
      <c r="C22" s="176"/>
      <c r="D22" s="209" t="str" cm="1">
        <f t="array" ref="D22">_xlfn.IFS(C22="","",ISNUMBER(MATCH(A22,{1,2,3,9,12,16,18},0)), IF(C22&gt;=3,1,0),ISNUMBER(MATCH(A22,{4,5,6,7,8,10,11,13,14,15,17},0)), IF(C22&gt;=4,1,0))</f>
        <v/>
      </c>
      <c r="F22" s="185" t="s">
        <v>1117</v>
      </c>
      <c r="G22" s="28"/>
      <c r="H22" s="28"/>
      <c r="I22" s="28"/>
      <c r="J22" s="28"/>
      <c r="K22" s="28"/>
      <c r="AE22" s="62"/>
    </row>
    <row r="23" spans="1:31" s="33" customFormat="1" x14ac:dyDescent="0.25">
      <c r="A23" s="149">
        <v>11</v>
      </c>
      <c r="B23" s="33" t="s">
        <v>1015</v>
      </c>
      <c r="C23" s="175"/>
      <c r="D23" s="209" t="str" cm="1">
        <f t="array" ref="D23">_xlfn.IFS(C23="","",ISNUMBER(MATCH(A23,{1,2,3,9,12,16,18},0)), IF(C23&gt;=3,1,0),ISNUMBER(MATCH(A23,{4,5,6,7,8,10,11,13,14,15,17},0)), IF(C23&gt;=4,1,0))</f>
        <v/>
      </c>
      <c r="G23" s="28"/>
      <c r="H23" s="28"/>
      <c r="I23" s="28"/>
      <c r="J23" s="28"/>
      <c r="K23" s="28"/>
      <c r="AE23" s="62"/>
    </row>
    <row r="24" spans="1:31" s="33" customFormat="1" x14ac:dyDescent="0.25">
      <c r="A24" s="155">
        <v>12</v>
      </c>
      <c r="B24" s="156" t="s">
        <v>1016</v>
      </c>
      <c r="C24" s="176"/>
      <c r="D24" s="209" t="str" cm="1">
        <f t="array" ref="D24">_xlfn.IFS(C24="","",ISNUMBER(MATCH(A24,{1,2,3,9,12,16,18},0)), IF(C24&gt;=3,1,0),ISNUMBER(MATCH(A24,{4,5,6,7,8,10,11,13,14,15,17},0)), IF(C24&gt;=4,1,0))</f>
        <v/>
      </c>
      <c r="F24" s="33" t="s">
        <v>1582</v>
      </c>
      <c r="G24" s="28"/>
      <c r="H24" s="28"/>
      <c r="I24" s="28"/>
      <c r="J24" s="28"/>
      <c r="K24" s="28"/>
      <c r="AE24" s="62"/>
    </row>
    <row r="25" spans="1:31" s="33" customFormat="1" x14ac:dyDescent="0.25">
      <c r="A25" s="149">
        <v>13</v>
      </c>
      <c r="B25" s="33" t="s">
        <v>1017</v>
      </c>
      <c r="C25" s="175"/>
      <c r="D25" s="209" t="str" cm="1">
        <f t="array" ref="D25">_xlfn.IFS(C25="","",ISNUMBER(MATCH(A25,{1,2,3,9,12,16,18},0)), IF(C25&gt;=3,1,0),ISNUMBER(MATCH(A25,{4,5,6,7,8,10,11,13,14,15,17},0)), IF(C25&gt;=4,1,0))</f>
        <v/>
      </c>
      <c r="F25" s="185" t="s">
        <v>1585</v>
      </c>
      <c r="G25" s="28"/>
      <c r="H25" s="28" t="s">
        <v>1586</v>
      </c>
      <c r="I25" s="28"/>
      <c r="J25" s="28"/>
      <c r="K25" s="28"/>
      <c r="AE25" s="62"/>
    </row>
    <row r="26" spans="1:31" s="33" customFormat="1" x14ac:dyDescent="0.25">
      <c r="A26" s="155">
        <v>14</v>
      </c>
      <c r="B26" s="156" t="s">
        <v>1018</v>
      </c>
      <c r="C26" s="176"/>
      <c r="D26" s="209" t="str" cm="1">
        <f t="array" ref="D26">_xlfn.IFS(C26="","",ISNUMBER(MATCH(A26,{1,2,3,9,12,16,18},0)), IF(C26&gt;=3,1,0),ISNUMBER(MATCH(A26,{4,5,6,7,8,10,11,13,14,15,17},0)), IF(C26&gt;=4,1,0))</f>
        <v/>
      </c>
      <c r="F26" s="185" t="s">
        <v>1587</v>
      </c>
      <c r="G26" s="28"/>
      <c r="H26" s="28" t="s">
        <v>1588</v>
      </c>
      <c r="I26" s="28"/>
      <c r="J26" s="28"/>
      <c r="K26" s="28"/>
      <c r="AE26" s="62"/>
    </row>
    <row r="27" spans="1:31" s="33" customFormat="1" x14ac:dyDescent="0.25">
      <c r="A27" s="149">
        <v>15</v>
      </c>
      <c r="B27" s="33" t="s">
        <v>1019</v>
      </c>
      <c r="C27" s="175"/>
      <c r="D27" s="209" t="str" cm="1">
        <f t="array" ref="D27">_xlfn.IFS(C27="","",ISNUMBER(MATCH(A27,{1,2,3,9,12,16,18},0)), IF(C27&gt;=3,1,0),ISNUMBER(MATCH(A27,{4,5,6,7,8,10,11,13,14,15,17},0)), IF(C27&gt;=4,1,0))</f>
        <v/>
      </c>
      <c r="F27" s="28"/>
      <c r="G27" s="28"/>
      <c r="H27" s="28"/>
      <c r="I27" s="28"/>
      <c r="J27" s="28"/>
      <c r="K27" s="28"/>
      <c r="AE27" s="62"/>
    </row>
    <row r="28" spans="1:31" s="33" customFormat="1" ht="31.5" x14ac:dyDescent="0.25">
      <c r="A28" s="155">
        <v>16</v>
      </c>
      <c r="B28" s="189" t="s">
        <v>1020</v>
      </c>
      <c r="C28" s="176"/>
      <c r="D28" s="209" t="str" cm="1">
        <f t="array" ref="D28">_xlfn.IFS(C28="","",ISNUMBER(MATCH(A28,{1,2,3,9,12,16,18},0)), IF(C28&gt;=3,1,0),ISNUMBER(MATCH(A28,{4,5,6,7,8,10,11,13,14,15,17},0)), IF(C28&gt;=4,1,0))</f>
        <v/>
      </c>
      <c r="F28" s="184"/>
      <c r="G28" s="28"/>
      <c r="H28" s="28"/>
      <c r="I28" s="28"/>
      <c r="J28" s="28"/>
      <c r="K28" s="28"/>
      <c r="AE28" s="62"/>
    </row>
    <row r="29" spans="1:31" x14ac:dyDescent="0.3">
      <c r="A29" s="149">
        <v>17</v>
      </c>
      <c r="B29" s="33" t="s">
        <v>1021</v>
      </c>
      <c r="C29" s="175"/>
      <c r="D29" s="209" t="str" cm="1">
        <f t="array" ref="D29">_xlfn.IFS(C29="","",ISNUMBER(MATCH(A29,{1,2,3,9,12,16,18},0)), IF(C29&gt;=3,1,0),ISNUMBER(MATCH(A29,{4,5,6,7,8,10,11,13,14,15,17},0)), IF(C29&gt;=4,1,0))</f>
        <v/>
      </c>
      <c r="F29" s="184"/>
    </row>
    <row r="30" spans="1:31" ht="20.25" thickBot="1" x14ac:dyDescent="0.35">
      <c r="A30" s="173">
        <v>18</v>
      </c>
      <c r="B30" s="174" t="s">
        <v>1022</v>
      </c>
      <c r="C30" s="177"/>
      <c r="D30" s="209" t="str" cm="1">
        <f t="array" ref="D30">_xlfn.IFS(C30="","",ISNUMBER(MATCH(A30,{1,2,3,9,12,16,18},0)), IF(C30&gt;=3,1,0),ISNUMBER(MATCH(A30,{4,5,6,7,8,10,11,13,14,15,17},0)), IF(C30&gt;=4,1,0))</f>
        <v/>
      </c>
      <c r="F30" s="184"/>
    </row>
    <row r="31" spans="1:31" x14ac:dyDescent="0.3">
      <c r="D31" s="209"/>
      <c r="F31" s="33"/>
    </row>
    <row r="32" spans="1:31" x14ac:dyDescent="0.3">
      <c r="D32" s="209"/>
      <c r="F32" s="33"/>
    </row>
    <row r="33" spans="1:6" x14ac:dyDescent="0.3">
      <c r="A33" s="131"/>
      <c r="B33" s="170" t="s">
        <v>797</v>
      </c>
      <c r="C33" s="131"/>
      <c r="D33" s="209"/>
      <c r="F33" s="51"/>
    </row>
    <row r="34" spans="1:6" ht="39" customHeight="1" x14ac:dyDescent="0.3">
      <c r="B34" s="276" t="s">
        <v>1118</v>
      </c>
      <c r="D34" s="209"/>
      <c r="F34" s="185"/>
    </row>
    <row r="35" spans="1:6" x14ac:dyDescent="0.3">
      <c r="D35" s="209"/>
      <c r="F35" s="185"/>
    </row>
    <row r="36" spans="1:6" x14ac:dyDescent="0.3">
      <c r="D36" s="209"/>
      <c r="F36" s="185"/>
    </row>
    <row r="37" spans="1:6" x14ac:dyDescent="0.3">
      <c r="D37" s="209"/>
      <c r="F37" s="187"/>
    </row>
  </sheetData>
  <sheetProtection algorithmName="SHA-512" hashValue="Ik5mRP9gW23TUhyNjDYyPgz4dM6jEEN4pwVkpnAuVOXQOrK4t8x3PCFt5688acMDGeyOR0eP1Vl3cPgbERR+mw==" saltValue="wKf70h1Ewvc39l6XOBqNIg==" spinCount="100000" sheet="1" objects="1" scenarios="1"/>
  <mergeCells count="2">
    <mergeCell ref="A6:C6"/>
    <mergeCell ref="A7:C7"/>
  </mergeCells>
  <dataValidations count="1">
    <dataValidation type="list" allowBlank="1" showInputMessage="1" showErrorMessage="1" sqref="C11:C30" xr:uid="{81E4B158-C814-D74A-9148-DA767CCA12C5}">
      <formula1>"1,2,3,4,5"</formula1>
    </dataValidation>
  </dataValidation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C0521-8BAD-DD48-8108-A549AF478BA4}">
  <sheetPr>
    <tabColor theme="7"/>
  </sheetPr>
  <dimension ref="A1:AE64"/>
  <sheetViews>
    <sheetView workbookViewId="0">
      <selection activeCell="C11" sqref="C11"/>
    </sheetView>
  </sheetViews>
  <sheetFormatPr defaultColWidth="10.875" defaultRowHeight="19.5" x14ac:dyDescent="0.3"/>
  <cols>
    <col min="1" max="1" width="8.375" style="28" customWidth="1"/>
    <col min="2" max="2" width="106" style="28" customWidth="1"/>
    <col min="3" max="3" width="12.5" style="28" customWidth="1"/>
    <col min="4" max="4" width="10.875" style="103"/>
    <col min="5" max="5" width="10.875" style="28"/>
    <col min="6" max="6" width="54.125" style="28" customWidth="1"/>
    <col min="7" max="8" width="12.5" style="28" customWidth="1"/>
    <col min="9" max="9" width="19.625" style="28" bestFit="1" customWidth="1"/>
    <col min="10" max="10" width="129.125" style="28" bestFit="1" customWidth="1"/>
    <col min="11" max="11" width="69.125" style="28" bestFit="1" customWidth="1"/>
    <col min="12" max="30" width="10.875" style="28"/>
    <col min="31" max="31" width="10.875" style="66"/>
    <col min="32" max="16384" width="10.875" style="28"/>
  </cols>
  <sheetData>
    <row r="1" spans="1:31" s="20" customFormat="1" x14ac:dyDescent="0.3">
      <c r="D1" s="267"/>
      <c r="AE1" s="58"/>
    </row>
    <row r="2" spans="1:31" s="20" customFormat="1" ht="45.75" x14ac:dyDescent="0.3">
      <c r="A2" s="59" t="s">
        <v>1106</v>
      </c>
      <c r="D2" s="267"/>
      <c r="AE2" s="58"/>
    </row>
    <row r="3" spans="1:31" s="23" customFormat="1" ht="31.5" x14ac:dyDescent="0.5">
      <c r="A3" s="172" t="s">
        <v>1122</v>
      </c>
      <c r="D3" s="130"/>
      <c r="F3" s="130"/>
      <c r="G3" s="130"/>
      <c r="H3" s="130"/>
      <c r="I3" s="130"/>
      <c r="J3" s="130"/>
      <c r="AE3" s="61"/>
    </row>
    <row r="5" spans="1:31" x14ac:dyDescent="0.3">
      <c r="A5" s="131" t="s">
        <v>818</v>
      </c>
      <c r="B5" s="132"/>
      <c r="C5" s="132"/>
    </row>
    <row r="6" spans="1:31" s="133" customFormat="1" x14ac:dyDescent="0.25">
      <c r="A6" s="351" t="s">
        <v>1001</v>
      </c>
      <c r="B6" s="352"/>
      <c r="C6" s="353"/>
      <c r="D6" s="268"/>
      <c r="AE6" s="134"/>
    </row>
    <row r="7" spans="1:31" s="133" customFormat="1" x14ac:dyDescent="0.25">
      <c r="A7" s="354" t="s">
        <v>934</v>
      </c>
      <c r="B7" s="355"/>
      <c r="C7" s="356"/>
      <c r="D7" s="268"/>
      <c r="AE7" s="134"/>
    </row>
    <row r="8" spans="1:31" ht="20.25" thickBot="1" x14ac:dyDescent="0.35"/>
    <row r="9" spans="1:31" x14ac:dyDescent="0.3">
      <c r="A9" s="138"/>
      <c r="B9" s="139"/>
      <c r="C9" s="140"/>
      <c r="F9" s="139" t="s">
        <v>132</v>
      </c>
      <c r="G9" s="141"/>
      <c r="H9" s="142" t="s">
        <v>1002</v>
      </c>
      <c r="I9" s="143"/>
      <c r="J9" s="139"/>
      <c r="K9" s="139"/>
    </row>
    <row r="10" spans="1:31" ht="75" x14ac:dyDescent="0.3">
      <c r="A10" s="144" t="s">
        <v>1</v>
      </c>
      <c r="B10" s="144" t="s">
        <v>2</v>
      </c>
      <c r="C10" s="145" t="s">
        <v>933</v>
      </c>
      <c r="D10" s="269" t="s">
        <v>1619</v>
      </c>
      <c r="F10" s="146" t="s">
        <v>133</v>
      </c>
      <c r="G10" s="147" t="s">
        <v>134</v>
      </c>
      <c r="H10" s="147" t="s">
        <v>135</v>
      </c>
      <c r="I10" s="148" t="s">
        <v>317</v>
      </c>
      <c r="J10" s="146" t="s">
        <v>136</v>
      </c>
      <c r="K10" s="146" t="s">
        <v>1448</v>
      </c>
    </row>
    <row r="11" spans="1:31" s="33" customFormat="1" x14ac:dyDescent="0.25">
      <c r="A11" s="149">
        <v>1</v>
      </c>
      <c r="B11" s="33" t="s">
        <v>951</v>
      </c>
      <c r="C11" s="175"/>
      <c r="D11" s="209" t="str" cm="1">
        <f t="array" ref="D11">_xlfn.IFS(C11="","",ISNUMBER(MATCH(A11,{2,4,5,6,7,9,12,13,16,18,19,20,21,22,23,26,33,35,39,41,42,43,45,46},0)), _xlfn.IFS(C11=1,1,C11=2,1,C11=3,0,C11=4,0),ISNUMBER(MATCH(A11,{1,3,8,10,11,14,15,17,24,25,27,28,29,30,31,32,34,36,37,38,40,44,47,48,49,50},0)), _xlfn.IFS(C11=1,0,C11=2,0,C11=3,1,C11=4,1))</f>
        <v/>
      </c>
      <c r="F11" s="150" t="s">
        <v>947</v>
      </c>
      <c r="G11" s="151" t="str" cm="1">
        <f t="array" ref="G11">IF(COUNTA(C$11:C$230)&gt;0,SUM(SUMIF(A$11:A$230,{1,11,13,15,22,36,44,45,47,48},D$11:D$230)),"")</f>
        <v/>
      </c>
      <c r="H11" s="152" t="s">
        <v>740</v>
      </c>
      <c r="I11" s="153" t="s">
        <v>1102</v>
      </c>
      <c r="J11" s="154" t="s">
        <v>1130</v>
      </c>
      <c r="K11" s="154" t="s">
        <v>1514</v>
      </c>
      <c r="AE11" s="62"/>
    </row>
    <row r="12" spans="1:31" s="33" customFormat="1" x14ac:dyDescent="0.25">
      <c r="A12" s="155">
        <v>2</v>
      </c>
      <c r="B12" s="156" t="s">
        <v>952</v>
      </c>
      <c r="C12" s="176"/>
      <c r="D12" s="209" t="str" cm="1">
        <f t="array" ref="D12">_xlfn.IFS(C12="","",ISNUMBER(MATCH(A12,{2,4,5,6,7,9,12,13,16,18,19,20,21,22,23,26,33,35,39,41,42,43,45,46},0)), _xlfn.IFS(C12=1,1,C12=2,1,C12=3,0,C12=4,0),ISNUMBER(MATCH(A12,{1,3,8,10,11,14,15,17,24,25,27,28,29,30,31,32,34,36,37,38,40,44,47,48,49,50},0)), _xlfn.IFS(C12=1,0,C12=2,0,C12=3,1,C12=4,1))</f>
        <v/>
      </c>
      <c r="F12" s="157" t="s">
        <v>948</v>
      </c>
      <c r="G12" s="158" t="str" cm="1">
        <f t="array" ref="G12">IF(COUNTA(C$11:C$230)&gt;0,SUM(SUMIF(A$11:A$230,{2,4,10,16,25,32,34,37,43,46},D$11:D$230)),"")</f>
        <v/>
      </c>
      <c r="H12" s="159" t="s">
        <v>740</v>
      </c>
      <c r="I12" s="160" t="s">
        <v>1102</v>
      </c>
      <c r="J12" s="161" t="s">
        <v>1128</v>
      </c>
      <c r="K12" s="161" t="s">
        <v>1515</v>
      </c>
      <c r="AE12" s="62"/>
    </row>
    <row r="13" spans="1:31" s="33" customFormat="1" x14ac:dyDescent="0.25">
      <c r="A13" s="149">
        <v>3</v>
      </c>
      <c r="B13" s="33" t="s">
        <v>953</v>
      </c>
      <c r="C13" s="175"/>
      <c r="D13" s="209" t="str" cm="1">
        <f t="array" ref="D13">_xlfn.IFS(C13="","",ISNUMBER(MATCH(A13,{2,4,5,6,7,9,12,13,16,18,19,20,21,22,23,26,33,35,39,41,42,43,45,46},0)), _xlfn.IFS(C13=1,1,C13=2,1,C13=3,0,C13=4,0),ISNUMBER(MATCH(A13,{1,3,8,10,11,14,15,17,24,25,27,28,29,30,31,32,34,36,37,38,40,44,47,48,49,50},0)), _xlfn.IFS(C13=1,0,C13=2,0,C13=3,1,C13=4,1))</f>
        <v/>
      </c>
      <c r="F13" s="157" t="s">
        <v>949</v>
      </c>
      <c r="G13" s="158" t="str" cm="1">
        <f t="array" ref="G13">IF(COUNTA(C$11:C$230)&gt;0,SUM(SUMIF(A$11:A$230,{5,6,9,12,19,23,28,29,30,49},D$11:D$230)),"")</f>
        <v/>
      </c>
      <c r="H13" s="159" t="s">
        <v>740</v>
      </c>
      <c r="I13" s="160" t="s">
        <v>1102</v>
      </c>
      <c r="J13" s="161" t="s">
        <v>1129</v>
      </c>
      <c r="K13" s="161" t="s">
        <v>1516</v>
      </c>
      <c r="AE13" s="62"/>
    </row>
    <row r="14" spans="1:31" s="33" customFormat="1" x14ac:dyDescent="0.25">
      <c r="A14" s="155">
        <v>4</v>
      </c>
      <c r="B14" s="156" t="s">
        <v>954</v>
      </c>
      <c r="C14" s="176"/>
      <c r="D14" s="209" t="str" cm="1">
        <f t="array" ref="D14">_xlfn.IFS(C14="","",ISNUMBER(MATCH(A14,{2,4,5,6,7,9,12,13,16,18,19,20,21,22,23,26,33,35,39,41,42,43,45,46},0)), _xlfn.IFS(C14=1,1,C14=2,1,C14=3,0,C14=4,0),ISNUMBER(MATCH(A14,{1,3,8,10,11,14,15,17,24,25,27,28,29,30,31,32,34,36,37,38,40,44,47,48,49,50},0)), _xlfn.IFS(C14=1,0,C14=2,0,C14=3,1,C14=4,1))</f>
        <v/>
      </c>
      <c r="F14" s="157" t="s">
        <v>950</v>
      </c>
      <c r="G14" s="158" t="str" cm="1">
        <f t="array" ref="G14">IF(COUNTA(C$11:C$230)&gt;0,SUM(SUMIF(A$11:A$230,{7,17,18,26,27,31,33,35,38,39},D$11:D$230)),"")</f>
        <v/>
      </c>
      <c r="H14" s="159" t="s">
        <v>740</v>
      </c>
      <c r="I14" s="160" t="s">
        <v>1102</v>
      </c>
      <c r="J14" s="161" t="s">
        <v>1138</v>
      </c>
      <c r="K14" s="161" t="s">
        <v>1517</v>
      </c>
      <c r="AE14" s="62"/>
    </row>
    <row r="15" spans="1:31" s="33" customFormat="1" x14ac:dyDescent="0.25">
      <c r="A15" s="149">
        <v>5</v>
      </c>
      <c r="B15" s="33" t="s">
        <v>955</v>
      </c>
      <c r="C15" s="175"/>
      <c r="D15" s="209" t="str" cm="1">
        <f t="array" ref="D15">_xlfn.IFS(C15="","",ISNUMBER(MATCH(A15,{2,4,5,6,7,9,12,13,16,18,19,20,21,22,23,26,33,35,39,41,42,43,45,46},0)), _xlfn.IFS(C15=1,1,C15=2,1,C15=3,0,C15=4,0),ISNUMBER(MATCH(A15,{1,3,8,10,11,14,15,17,24,25,27,28,29,30,31,32,34,36,37,38,40,44,47,48,49,50},0)), _xlfn.IFS(C15=1,0,C15=2,0,C15=3,1,C15=4,1))</f>
        <v/>
      </c>
      <c r="F15" s="157" t="s">
        <v>1158</v>
      </c>
      <c r="G15" s="158" t="str" cm="1">
        <f t="array" ref="G15">IF(COUNTA(C$11:C$230)&gt;0,SUM(SUMIF(A$11:A$230,{3,8,14,20,21,24,40,41,42,50},D$11:D$230)),"")</f>
        <v/>
      </c>
      <c r="H15" s="159" t="s">
        <v>740</v>
      </c>
      <c r="I15" s="160" t="s">
        <v>1102</v>
      </c>
      <c r="J15" s="161" t="s">
        <v>1131</v>
      </c>
      <c r="K15" s="161" t="s">
        <v>1518</v>
      </c>
      <c r="AE15" s="62"/>
    </row>
    <row r="16" spans="1:31" s="33" customFormat="1" x14ac:dyDescent="0.25">
      <c r="A16" s="155">
        <v>6</v>
      </c>
      <c r="B16" s="156" t="s">
        <v>956</v>
      </c>
      <c r="C16" s="176"/>
      <c r="D16" s="209" t="str" cm="1">
        <f t="array" ref="D16">_xlfn.IFS(C16="","",ISNUMBER(MATCH(A16,{2,4,5,6,7,9,12,13,16,18,19,20,21,22,23,26,33,35,39,41,42,43,45,46},0)), _xlfn.IFS(C16=1,1,C16=2,1,C16=3,0,C16=4,0),ISNUMBER(MATCH(A16,{1,3,8,10,11,14,15,17,24,25,27,28,29,30,31,32,34,36,37,38,40,44,47,48,49,50},0)), _xlfn.IFS(C16=1,0,C16=2,0,C16=3,1,C16=4,1))</f>
        <v/>
      </c>
      <c r="F16" s="224" t="s">
        <v>1003</v>
      </c>
      <c r="G16" s="225"/>
      <c r="H16" s="226" t="str">
        <f ca="1">IF(G16="","",(G16-VLOOKUP(F16,INDIRECT($H$9),2, FALSE))/VLOOKUP(F16,INDIRECT($H$9),3, FALSE))</f>
        <v/>
      </c>
      <c r="I16" s="227"/>
      <c r="J16" s="275"/>
      <c r="K16" s="229" t="s">
        <v>1598</v>
      </c>
      <c r="AE16" s="62"/>
    </row>
    <row r="17" spans="1:31" s="33" customFormat="1" x14ac:dyDescent="0.25">
      <c r="A17" s="149">
        <v>7</v>
      </c>
      <c r="B17" s="33" t="s">
        <v>957</v>
      </c>
      <c r="C17" s="175"/>
      <c r="D17" s="209" t="str" cm="1">
        <f t="array" ref="D17">_xlfn.IFS(C17="","",ISNUMBER(MATCH(A17,{2,4,5,6,7,9,12,13,16,18,19,20,21,22,23,26,33,35,39,41,42,43,45,46},0)), _xlfn.IFS(C17=1,1,C17=2,1,C17=3,0,C17=4,0),ISNUMBER(MATCH(A17,{1,3,8,10,11,14,15,17,24,25,27,28,29,30,31,32,34,36,37,38,40,44,47,48,49,50},0)), _xlfn.IFS(C17=1,0,C17=2,0,C17=3,1,C17=4,1))</f>
        <v/>
      </c>
      <c r="F17" s="162" t="s">
        <v>165</v>
      </c>
      <c r="G17" s="135" t="str" cm="1">
        <f t="array" ref="G17">IF(SUM(G$11:G$15)&gt;0,SUM(SUMIF(F$11:F$15,{"Social skill","Attention switching","Attention to detail","Communication","Imagination"},G$11:G$15)),"")</f>
        <v/>
      </c>
      <c r="H17" s="163" t="s">
        <v>740</v>
      </c>
      <c r="I17" s="164" t="str" cm="1">
        <f t="array" ref="I17">_xlfn.IFS(G17="","",G17&lt;=31,"Not elevated",G17&gt;=32,"Elevated autistic traits")</f>
        <v/>
      </c>
      <c r="J17" s="165" t="s">
        <v>1120</v>
      </c>
      <c r="K17" s="165" t="s">
        <v>1615</v>
      </c>
      <c r="AE17" s="62"/>
    </row>
    <row r="18" spans="1:31" s="33" customFormat="1" x14ac:dyDescent="0.25">
      <c r="A18" s="155">
        <v>8</v>
      </c>
      <c r="B18" s="156" t="s">
        <v>958</v>
      </c>
      <c r="C18" s="176"/>
      <c r="D18" s="209" t="str" cm="1">
        <f t="array" ref="D18">_xlfn.IFS(C18="","",ISNUMBER(MATCH(A18,{2,4,5,6,7,9,12,13,16,18,19,20,21,22,23,26,33,35,39,41,42,43,45,46},0)), _xlfn.IFS(C18=1,1,C18=2,1,C18=3,0,C18=4,0),ISNUMBER(MATCH(A18,{1,3,8,10,11,14,15,17,24,25,27,28,29,30,31,32,34,36,37,38,40,44,47,48,49,50},0)), _xlfn.IFS(C18=1,0,C18=2,0,C18=3,1,C18=4,1))</f>
        <v/>
      </c>
      <c r="AE18" s="62"/>
    </row>
    <row r="19" spans="1:31" s="33" customFormat="1" x14ac:dyDescent="0.25">
      <c r="A19" s="149">
        <v>9</v>
      </c>
      <c r="B19" s="33" t="s">
        <v>975</v>
      </c>
      <c r="C19" s="175"/>
      <c r="D19" s="209" t="str" cm="1">
        <f t="array" ref="D19">_xlfn.IFS(C19="","",ISNUMBER(MATCH(A19,{2,4,5,6,7,9,12,13,16,18,19,20,21,22,23,26,33,35,39,41,42,43,45,46},0)), _xlfn.IFS(C19=1,1,C19=2,1,C19=3,0,C19=4,0),ISNUMBER(MATCH(A19,{1,3,8,10,11,14,15,17,24,25,27,28,29,30,31,32,34,36,37,38,40,44,47,48,49,50},0)), _xlfn.IFS(C19=1,0,C19=2,0,C19=3,1,C19=4,1))</f>
        <v/>
      </c>
      <c r="AE19" s="62"/>
    </row>
    <row r="20" spans="1:31" s="33" customFormat="1" ht="21" x14ac:dyDescent="0.35">
      <c r="A20" s="155">
        <v>10</v>
      </c>
      <c r="B20" s="156" t="s">
        <v>959</v>
      </c>
      <c r="C20" s="176"/>
      <c r="D20" s="209" t="str" cm="1">
        <f t="array" ref="D20">_xlfn.IFS(C20="","",ISNUMBER(MATCH(A20,{2,4,5,6,7,9,12,13,16,18,19,20,21,22,23,26,33,35,39,41,42,43,45,46},0)), _xlfn.IFS(C20=1,1,C20=2,1,C20=3,0,C20=4,0),ISNUMBER(MATCH(A20,{1,3,8,10,11,14,15,17,24,25,27,28,29,30,31,32,34,36,37,38,40,44,47,48,49,50},0)), _xlfn.IFS(C20=1,0,C20=2,0,C20=3,1,C20=4,1))</f>
        <v/>
      </c>
      <c r="F20" s="166" t="s">
        <v>237</v>
      </c>
      <c r="G20" s="132"/>
      <c r="H20" s="132"/>
      <c r="I20" s="132"/>
      <c r="J20" s="132"/>
      <c r="K20" s="132"/>
      <c r="AE20" s="62"/>
    </row>
    <row r="21" spans="1:31" s="33" customFormat="1" x14ac:dyDescent="0.25">
      <c r="A21" s="149">
        <v>11</v>
      </c>
      <c r="B21" s="33" t="s">
        <v>960</v>
      </c>
      <c r="C21" s="175"/>
      <c r="D21" s="209" t="str" cm="1">
        <f t="array" ref="D21">_xlfn.IFS(C21="","",ISNUMBER(MATCH(A21,{2,4,5,6,7,9,12,13,16,18,19,20,21,22,23,26,33,35,39,41,42,43,45,46},0)), _xlfn.IFS(C21=1,1,C21=2,1,C21=3,0,C21=4,0),ISNUMBER(MATCH(A21,{1,3,8,10,11,14,15,17,24,25,27,28,29,30,31,32,34,36,37,38,40,44,47,48,49,50},0)), _xlfn.IFS(C21=1,0,C21=2,0,C21=3,1,C21=4,1))</f>
        <v/>
      </c>
      <c r="F21" s="184" t="s">
        <v>1114</v>
      </c>
      <c r="G21" s="28"/>
      <c r="H21" s="28"/>
      <c r="I21" s="28"/>
      <c r="J21" s="28"/>
      <c r="K21" s="28"/>
      <c r="AE21" s="62"/>
    </row>
    <row r="22" spans="1:31" s="33" customFormat="1" x14ac:dyDescent="0.25">
      <c r="A22" s="155">
        <v>12</v>
      </c>
      <c r="B22" s="156" t="s">
        <v>961</v>
      </c>
      <c r="C22" s="176"/>
      <c r="D22" s="209" t="str" cm="1">
        <f t="array" ref="D22">_xlfn.IFS(C22="","",ISNUMBER(MATCH(A22,{2,4,5,6,7,9,12,13,16,18,19,20,21,22,23,26,33,35,39,41,42,43,45,46},0)), _xlfn.IFS(C22=1,1,C22=2,1,C22=3,0,C22=4,0),ISNUMBER(MATCH(A22,{1,3,8,10,11,14,15,17,24,25,27,28,29,30,31,32,34,36,37,38,40,44,47,48,49,50},0)), _xlfn.IFS(C22=1,0,C22=2,0,C22=3,1,C22=4,1))</f>
        <v/>
      </c>
      <c r="G22" s="28"/>
      <c r="H22" s="28"/>
      <c r="I22" s="28"/>
      <c r="J22" s="28"/>
      <c r="K22" s="28"/>
      <c r="AE22" s="62"/>
    </row>
    <row r="23" spans="1:31" s="33" customFormat="1" x14ac:dyDescent="0.25">
      <c r="A23" s="149">
        <v>13</v>
      </c>
      <c r="B23" s="33" t="s">
        <v>962</v>
      </c>
      <c r="C23" s="175"/>
      <c r="D23" s="209" t="str" cm="1">
        <f t="array" ref="D23">_xlfn.IFS(C23="","",ISNUMBER(MATCH(A23,{2,4,5,6,7,9,12,13,16,18,19,20,21,22,23,26,33,35,39,41,42,43,45,46},0)), _xlfn.IFS(C23=1,1,C23=2,1,C23=3,0,C23=4,0),ISNUMBER(MATCH(A23,{1,3,8,10,11,14,15,17,24,25,27,28,29,30,31,32,34,36,37,38,40,44,47,48,49,50},0)), _xlfn.IFS(C23=1,0,C23=2,0,C23=3,1,C23=4,1))</f>
        <v/>
      </c>
      <c r="F23" s="51" t="s">
        <v>1648</v>
      </c>
      <c r="G23" s="28"/>
      <c r="H23" s="28"/>
      <c r="I23" s="28"/>
      <c r="J23" s="28"/>
      <c r="K23" s="28"/>
      <c r="AE23" s="62"/>
    </row>
    <row r="24" spans="1:31" s="33" customFormat="1" x14ac:dyDescent="0.25">
      <c r="A24" s="155">
        <v>14</v>
      </c>
      <c r="B24" s="156" t="s">
        <v>963</v>
      </c>
      <c r="C24" s="176"/>
      <c r="D24" s="209" t="str" cm="1">
        <f t="array" ref="D24">_xlfn.IFS(C24="","",ISNUMBER(MATCH(A24,{2,4,5,6,7,9,12,13,16,18,19,20,21,22,23,26,33,35,39,41,42,43,45,46},0)), _xlfn.IFS(C24=1,1,C24=2,1,C24=3,0,C24=4,0),ISNUMBER(MATCH(A24,{1,3,8,10,11,14,15,17,24,25,27,28,29,30,31,32,34,36,37,38,40,44,47,48,49,50},0)), _xlfn.IFS(C24=1,0,C24=2,0,C24=3,1,C24=4,1))</f>
        <v/>
      </c>
      <c r="F24" s="185" t="s">
        <v>1159</v>
      </c>
      <c r="G24" s="28"/>
      <c r="H24" s="28"/>
      <c r="I24" s="28"/>
      <c r="J24" s="28"/>
      <c r="K24" s="28"/>
      <c r="AE24" s="62"/>
    </row>
    <row r="25" spans="1:31" s="33" customFormat="1" x14ac:dyDescent="0.25">
      <c r="A25" s="149">
        <v>15</v>
      </c>
      <c r="B25" s="33" t="s">
        <v>964</v>
      </c>
      <c r="C25" s="175"/>
      <c r="D25" s="209" t="str" cm="1">
        <f t="array" ref="D25">_xlfn.IFS(C25="","",ISNUMBER(MATCH(A25,{2,4,5,6,7,9,12,13,16,18,19,20,21,22,23,26,33,35,39,41,42,43,45,46},0)), _xlfn.IFS(C25=1,1,C25=2,1,C25=3,0,C25=4,0),ISNUMBER(MATCH(A25,{1,3,8,10,11,14,15,17,24,25,27,28,29,30,31,32,34,36,37,38,40,44,47,48,49,50},0)), _xlfn.IFS(C25=1,0,C25=2,0,C25=3,1,C25=4,1))</f>
        <v/>
      </c>
      <c r="F25" s="185" t="s">
        <v>1160</v>
      </c>
      <c r="G25" s="28"/>
      <c r="H25" s="28"/>
      <c r="I25" s="28"/>
      <c r="J25" s="28"/>
      <c r="K25" s="28"/>
      <c r="AE25" s="62"/>
    </row>
    <row r="26" spans="1:31" s="33" customFormat="1" x14ac:dyDescent="0.25">
      <c r="A26" s="155">
        <v>16</v>
      </c>
      <c r="B26" s="156" t="s">
        <v>965</v>
      </c>
      <c r="C26" s="176"/>
      <c r="D26" s="209" t="str" cm="1">
        <f t="array" ref="D26">_xlfn.IFS(C26="","",ISNUMBER(MATCH(A26,{2,4,5,6,7,9,12,13,16,18,19,20,21,22,23,26,33,35,39,41,42,43,45,46},0)), _xlfn.IFS(C26=1,1,C26=2,1,C26=3,0,C26=4,0),ISNUMBER(MATCH(A26,{1,3,8,10,11,14,15,17,24,25,27,28,29,30,31,32,34,36,37,38,40,44,47,48,49,50},0)), _xlfn.IFS(C26=1,0,C26=2,0,C26=3,1,C26=4,1))</f>
        <v/>
      </c>
      <c r="G26" s="28"/>
      <c r="H26" s="28"/>
      <c r="I26" s="28"/>
      <c r="J26" s="28"/>
      <c r="K26" s="28"/>
      <c r="AE26" s="62"/>
    </row>
    <row r="27" spans="1:31" x14ac:dyDescent="0.3">
      <c r="A27" s="149">
        <v>17</v>
      </c>
      <c r="B27" s="33" t="s">
        <v>966</v>
      </c>
      <c r="C27" s="175"/>
      <c r="D27" s="209" t="str" cm="1">
        <f t="array" ref="D27">_xlfn.IFS(C27="","",ISNUMBER(MATCH(A27,{2,4,5,6,7,9,12,13,16,18,19,20,21,22,23,26,33,35,39,41,42,43,45,46},0)), _xlfn.IFS(C27=1,1,C27=2,1,C27=3,0,C27=4,0),ISNUMBER(MATCH(A27,{1,3,8,10,11,14,15,17,24,25,27,28,29,30,31,32,34,36,37,38,40,44,47,48,49,50},0)), _xlfn.IFS(C27=1,0,C27=2,0,C27=3,1,C27=4,1))</f>
        <v/>
      </c>
      <c r="E27" s="33"/>
      <c r="F27" s="33" t="s">
        <v>1582</v>
      </c>
      <c r="L27" s="33"/>
    </row>
    <row r="28" spans="1:31" x14ac:dyDescent="0.3">
      <c r="A28" s="155">
        <v>18</v>
      </c>
      <c r="B28" s="156" t="s">
        <v>967</v>
      </c>
      <c r="C28" s="176"/>
      <c r="D28" s="209" t="str" cm="1">
        <f t="array" ref="D28">_xlfn.IFS(C28="","",ISNUMBER(MATCH(A28,{2,4,5,6,7,9,12,13,16,18,19,20,21,22,23,26,33,35,39,41,42,43,45,46},0)), _xlfn.IFS(C28=1,1,C28=2,1,C28=3,0,C28=4,0),ISNUMBER(MATCH(A28,{1,3,8,10,11,14,15,17,24,25,27,28,29,30,31,32,34,36,37,38,40,44,47,48,49,50},0)), _xlfn.IFS(C28=1,0,C28=2,0,C28=3,1,C28=4,1))</f>
        <v/>
      </c>
      <c r="E28" s="33"/>
      <c r="F28" s="185" t="s">
        <v>1578</v>
      </c>
      <c r="H28" s="28" t="s">
        <v>1583</v>
      </c>
      <c r="L28" s="33"/>
    </row>
    <row r="29" spans="1:31" x14ac:dyDescent="0.3">
      <c r="A29" s="149">
        <v>19</v>
      </c>
      <c r="B29" s="33" t="s">
        <v>968</v>
      </c>
      <c r="C29" s="175"/>
      <c r="D29" s="209" t="str" cm="1">
        <f t="array" ref="D29">_xlfn.IFS(C29="","",ISNUMBER(MATCH(A29,{2,4,5,6,7,9,12,13,16,18,19,20,21,22,23,26,33,35,39,41,42,43,45,46},0)), _xlfn.IFS(C29=1,1,C29=2,1,C29=3,0,C29=4,0),ISNUMBER(MATCH(A29,{1,3,8,10,11,14,15,17,24,25,27,28,29,30,31,32,34,36,37,38,40,44,47,48,49,50},0)), _xlfn.IFS(C29=1,0,C29=2,0,C29=3,1,C29=4,1))</f>
        <v/>
      </c>
      <c r="E29" s="33"/>
      <c r="F29" s="185" t="s">
        <v>1580</v>
      </c>
      <c r="H29" s="28" t="s">
        <v>1584</v>
      </c>
      <c r="L29" s="33"/>
    </row>
    <row r="30" spans="1:31" x14ac:dyDescent="0.3">
      <c r="A30" s="155">
        <v>20</v>
      </c>
      <c r="B30" s="156" t="s">
        <v>969</v>
      </c>
      <c r="C30" s="176"/>
      <c r="D30" s="209" t="str" cm="1">
        <f t="array" ref="D30">_xlfn.IFS(C30="","",ISNUMBER(MATCH(A30,{2,4,5,6,7,9,12,13,16,18,19,20,21,22,23,26,33,35,39,41,42,43,45,46},0)), _xlfn.IFS(C30=1,1,C30=2,1,C30=3,0,C30=4,0),ISNUMBER(MATCH(A30,{1,3,8,10,11,14,15,17,24,25,27,28,29,30,31,32,34,36,37,38,40,44,47,48,49,50},0)), _xlfn.IFS(C30=1,0,C30=2,0,C30=3,1,C30=4,1))</f>
        <v/>
      </c>
      <c r="E30" s="33"/>
      <c r="F30" s="51"/>
    </row>
    <row r="31" spans="1:31" x14ac:dyDescent="0.3">
      <c r="A31" s="149">
        <v>21</v>
      </c>
      <c r="B31" s="33" t="s">
        <v>970</v>
      </c>
      <c r="C31" s="175"/>
      <c r="D31" s="209" t="str" cm="1">
        <f t="array" ref="D31">_xlfn.IFS(C31="","",ISNUMBER(MATCH(A31,{2,4,5,6,7,9,12,13,16,18,19,20,21,22,23,26,33,35,39,41,42,43,45,46},0)), _xlfn.IFS(C31=1,1,C31=2,1,C31=3,0,C31=4,0),ISNUMBER(MATCH(A31,{1,3,8,10,11,14,15,17,24,25,27,28,29,30,31,32,34,36,37,38,40,44,47,48,49,50},0)), _xlfn.IFS(C31=1,0,C31=2,0,C31=3,1,C31=4,1))</f>
        <v/>
      </c>
      <c r="E31" s="33"/>
      <c r="F31" s="101"/>
    </row>
    <row r="32" spans="1:31" x14ac:dyDescent="0.3">
      <c r="A32" s="155">
        <v>22</v>
      </c>
      <c r="B32" s="156" t="s">
        <v>971</v>
      </c>
      <c r="C32" s="176"/>
      <c r="D32" s="209" t="str" cm="1">
        <f t="array" ref="D32">_xlfn.IFS(C32="","",ISNUMBER(MATCH(A32,{2,4,5,6,7,9,12,13,16,18,19,20,21,22,23,26,33,35,39,41,42,43,45,46},0)), _xlfn.IFS(C32=1,1,C32=2,1,C32=3,0,C32=4,0),ISNUMBER(MATCH(A32,{1,3,8,10,11,14,15,17,24,25,27,28,29,30,31,32,34,36,37,38,40,44,47,48,49,50},0)), _xlfn.IFS(C32=1,0,C32=2,0,C32=3,1,C32=4,1))</f>
        <v/>
      </c>
      <c r="E32" s="33"/>
      <c r="F32" s="101"/>
    </row>
    <row r="33" spans="1:6" x14ac:dyDescent="0.3">
      <c r="A33" s="149">
        <v>23</v>
      </c>
      <c r="B33" s="33" t="s">
        <v>972</v>
      </c>
      <c r="C33" s="175"/>
      <c r="D33" s="209" t="str" cm="1">
        <f t="array" ref="D33">_xlfn.IFS(C33="","",ISNUMBER(MATCH(A33,{2,4,5,6,7,9,12,13,16,18,19,20,21,22,23,26,33,35,39,41,42,43,45,46},0)), _xlfn.IFS(C33=1,1,C33=2,1,C33=3,0,C33=4,0),ISNUMBER(MATCH(A33,{1,3,8,10,11,14,15,17,24,25,27,28,29,30,31,32,34,36,37,38,40,44,47,48,49,50},0)), _xlfn.IFS(C33=1,0,C33=2,0,C33=3,1,C33=4,1))</f>
        <v/>
      </c>
      <c r="E33" s="33"/>
      <c r="F33" s="101"/>
    </row>
    <row r="34" spans="1:6" x14ac:dyDescent="0.3">
      <c r="A34" s="155">
        <v>24</v>
      </c>
      <c r="B34" s="156" t="s">
        <v>973</v>
      </c>
      <c r="C34" s="176"/>
      <c r="D34" s="209" t="str" cm="1">
        <f t="array" ref="D34">_xlfn.IFS(C34="","",ISNUMBER(MATCH(A34,{2,4,5,6,7,9,12,13,16,18,19,20,21,22,23,26,33,35,39,41,42,43,45,46},0)), _xlfn.IFS(C34=1,1,C34=2,1,C34=3,0,C34=4,0),ISNUMBER(MATCH(A34,{1,3,8,10,11,14,15,17,24,25,27,28,29,30,31,32,34,36,37,38,40,44,47,48,49,50},0)), _xlfn.IFS(C34=1,0,C34=2,0,C34=3,1,C34=4,1))</f>
        <v/>
      </c>
      <c r="E34" s="33"/>
    </row>
    <row r="35" spans="1:6" x14ac:dyDescent="0.3">
      <c r="A35" s="149">
        <v>25</v>
      </c>
      <c r="B35" s="33" t="s">
        <v>974</v>
      </c>
      <c r="C35" s="175"/>
      <c r="D35" s="209" t="str" cm="1">
        <f t="array" ref="D35">_xlfn.IFS(C35="","",ISNUMBER(MATCH(A35,{2,4,5,6,7,9,12,13,16,18,19,20,21,22,23,26,33,35,39,41,42,43,45,46},0)), _xlfn.IFS(C35=1,1,C35=2,1,C35=3,0,C35=4,0),ISNUMBER(MATCH(A35,{1,3,8,10,11,14,15,17,24,25,27,28,29,30,31,32,34,36,37,38,40,44,47,48,49,50},0)), _xlfn.IFS(C35=1,0,C35=2,0,C35=3,1,C35=4,1))</f>
        <v/>
      </c>
      <c r="E35" s="33"/>
    </row>
    <row r="36" spans="1:6" x14ac:dyDescent="0.3">
      <c r="A36" s="155">
        <v>26</v>
      </c>
      <c r="B36" s="156" t="s">
        <v>976</v>
      </c>
      <c r="C36" s="176"/>
      <c r="D36" s="209" t="str" cm="1">
        <f t="array" ref="D36">_xlfn.IFS(C36="","",ISNUMBER(MATCH(A36,{2,4,5,6,7,9,12,13,16,18,19,20,21,22,23,26,33,35,39,41,42,43,45,46},0)), _xlfn.IFS(C36=1,1,C36=2,1,C36=3,0,C36=4,0),ISNUMBER(MATCH(A36,{1,3,8,10,11,14,15,17,24,25,27,28,29,30,31,32,34,36,37,38,40,44,47,48,49,50},0)), _xlfn.IFS(C36=1,0,C36=2,0,C36=3,1,C36=4,1))</f>
        <v/>
      </c>
      <c r="E36" s="33"/>
    </row>
    <row r="37" spans="1:6" x14ac:dyDescent="0.3">
      <c r="A37" s="149">
        <v>27</v>
      </c>
      <c r="B37" s="33" t="s">
        <v>977</v>
      </c>
      <c r="C37" s="175"/>
      <c r="D37" s="209" t="str" cm="1">
        <f t="array" ref="D37">_xlfn.IFS(C37="","",ISNUMBER(MATCH(A37,{2,4,5,6,7,9,12,13,16,18,19,20,21,22,23,26,33,35,39,41,42,43,45,46},0)), _xlfn.IFS(C37=1,1,C37=2,1,C37=3,0,C37=4,0),ISNUMBER(MATCH(A37,{1,3,8,10,11,14,15,17,24,25,27,28,29,30,31,32,34,36,37,38,40,44,47,48,49,50},0)), _xlfn.IFS(C37=1,0,C37=2,0,C37=3,1,C37=4,1))</f>
        <v/>
      </c>
      <c r="E37" s="33"/>
    </row>
    <row r="38" spans="1:6" x14ac:dyDescent="0.3">
      <c r="A38" s="155">
        <v>28</v>
      </c>
      <c r="B38" s="156" t="s">
        <v>978</v>
      </c>
      <c r="C38" s="176"/>
      <c r="D38" s="209" t="str" cm="1">
        <f t="array" ref="D38">_xlfn.IFS(C38="","",ISNUMBER(MATCH(A38,{2,4,5,6,7,9,12,13,16,18,19,20,21,22,23,26,33,35,39,41,42,43,45,46},0)), _xlfn.IFS(C38=1,1,C38=2,1,C38=3,0,C38=4,0),ISNUMBER(MATCH(A38,{1,3,8,10,11,14,15,17,24,25,27,28,29,30,31,32,34,36,37,38,40,44,47,48,49,50},0)), _xlfn.IFS(C38=1,0,C38=2,0,C38=3,1,C38=4,1))</f>
        <v/>
      </c>
      <c r="E38" s="33"/>
    </row>
    <row r="39" spans="1:6" x14ac:dyDescent="0.3">
      <c r="A39" s="149">
        <v>29</v>
      </c>
      <c r="B39" s="33" t="s">
        <v>979</v>
      </c>
      <c r="C39" s="175"/>
      <c r="D39" s="209" t="str" cm="1">
        <f t="array" ref="D39">_xlfn.IFS(C39="","",ISNUMBER(MATCH(A39,{2,4,5,6,7,9,12,13,16,18,19,20,21,22,23,26,33,35,39,41,42,43,45,46},0)), _xlfn.IFS(C39=1,1,C39=2,1,C39=3,0,C39=4,0),ISNUMBER(MATCH(A39,{1,3,8,10,11,14,15,17,24,25,27,28,29,30,31,32,34,36,37,38,40,44,47,48,49,50},0)), _xlfn.IFS(C39=1,0,C39=2,0,C39=3,1,C39=4,1))</f>
        <v/>
      </c>
      <c r="E39" s="33"/>
    </row>
    <row r="40" spans="1:6" x14ac:dyDescent="0.3">
      <c r="A40" s="155">
        <v>30</v>
      </c>
      <c r="B40" s="156" t="s">
        <v>980</v>
      </c>
      <c r="C40" s="176"/>
      <c r="D40" s="209" t="str" cm="1">
        <f t="array" ref="D40">_xlfn.IFS(C40="","",ISNUMBER(MATCH(A40,{2,4,5,6,7,9,12,13,16,18,19,20,21,22,23,26,33,35,39,41,42,43,45,46},0)), _xlfn.IFS(C40=1,1,C40=2,1,C40=3,0,C40=4,0),ISNUMBER(MATCH(A40,{1,3,8,10,11,14,15,17,24,25,27,28,29,30,31,32,34,36,37,38,40,44,47,48,49,50},0)), _xlfn.IFS(C40=1,0,C40=2,0,C40=3,1,C40=4,1))</f>
        <v/>
      </c>
      <c r="E40" s="33"/>
    </row>
    <row r="41" spans="1:6" x14ac:dyDescent="0.3">
      <c r="A41" s="149">
        <v>31</v>
      </c>
      <c r="B41" s="33" t="s">
        <v>981</v>
      </c>
      <c r="C41" s="175"/>
      <c r="D41" s="209" t="str" cm="1">
        <f t="array" ref="D41">_xlfn.IFS(C41="","",ISNUMBER(MATCH(A41,{2,4,5,6,7,9,12,13,16,18,19,20,21,22,23,26,33,35,39,41,42,43,45,46},0)), _xlfn.IFS(C41=1,1,C41=2,1,C41=3,0,C41=4,0),ISNUMBER(MATCH(A41,{1,3,8,10,11,14,15,17,24,25,27,28,29,30,31,32,34,36,37,38,40,44,47,48,49,50},0)), _xlfn.IFS(C41=1,0,C41=2,0,C41=3,1,C41=4,1))</f>
        <v/>
      </c>
      <c r="E41" s="33"/>
    </row>
    <row r="42" spans="1:6" x14ac:dyDescent="0.3">
      <c r="A42" s="155">
        <v>32</v>
      </c>
      <c r="B42" s="156" t="s">
        <v>982</v>
      </c>
      <c r="C42" s="176"/>
      <c r="D42" s="209" t="str" cm="1">
        <f t="array" ref="D42">_xlfn.IFS(C42="","",ISNUMBER(MATCH(A42,{2,4,5,6,7,9,12,13,16,18,19,20,21,22,23,26,33,35,39,41,42,43,45,46},0)), _xlfn.IFS(C42=1,1,C42=2,1,C42=3,0,C42=4,0),ISNUMBER(MATCH(A42,{1,3,8,10,11,14,15,17,24,25,27,28,29,30,31,32,34,36,37,38,40,44,47,48,49,50},0)), _xlfn.IFS(C42=1,0,C42=2,0,C42=3,1,C42=4,1))</f>
        <v/>
      </c>
      <c r="E42" s="33"/>
    </row>
    <row r="43" spans="1:6" x14ac:dyDescent="0.3">
      <c r="A43" s="149">
        <v>33</v>
      </c>
      <c r="B43" s="33" t="s">
        <v>983</v>
      </c>
      <c r="C43" s="175"/>
      <c r="D43" s="209" t="str" cm="1">
        <f t="array" ref="D43">_xlfn.IFS(C43="","",ISNUMBER(MATCH(A43,{2,4,5,6,7,9,12,13,16,18,19,20,21,22,23,26,33,35,39,41,42,43,45,46},0)), _xlfn.IFS(C43=1,1,C43=2,1,C43=3,0,C43=4,0),ISNUMBER(MATCH(A43,{1,3,8,10,11,14,15,17,24,25,27,28,29,30,31,32,34,36,37,38,40,44,47,48,49,50},0)), _xlfn.IFS(C43=1,0,C43=2,0,C43=3,1,C43=4,1))</f>
        <v/>
      </c>
    </row>
    <row r="44" spans="1:6" x14ac:dyDescent="0.3">
      <c r="A44" s="155">
        <v>34</v>
      </c>
      <c r="B44" s="156" t="s">
        <v>984</v>
      </c>
      <c r="C44" s="176"/>
      <c r="D44" s="209" t="str" cm="1">
        <f t="array" ref="D44">_xlfn.IFS(C44="","",ISNUMBER(MATCH(A44,{2,4,5,6,7,9,12,13,16,18,19,20,21,22,23,26,33,35,39,41,42,43,45,46},0)), _xlfn.IFS(C44=1,1,C44=2,1,C44=3,0,C44=4,0),ISNUMBER(MATCH(A44,{1,3,8,10,11,14,15,17,24,25,27,28,29,30,31,32,34,36,37,38,40,44,47,48,49,50},0)), _xlfn.IFS(C44=1,0,C44=2,0,C44=3,1,C44=4,1))</f>
        <v/>
      </c>
      <c r="E44" s="33"/>
    </row>
    <row r="45" spans="1:6" x14ac:dyDescent="0.3">
      <c r="A45" s="149">
        <v>35</v>
      </c>
      <c r="B45" s="33" t="s">
        <v>985</v>
      </c>
      <c r="C45" s="175"/>
      <c r="D45" s="209" t="str" cm="1">
        <f t="array" ref="D45">_xlfn.IFS(C45="","",ISNUMBER(MATCH(A45,{2,4,5,6,7,9,12,13,16,18,19,20,21,22,23,26,33,35,39,41,42,43,45,46},0)), _xlfn.IFS(C45=1,1,C45=2,1,C45=3,0,C45=4,0),ISNUMBER(MATCH(A45,{1,3,8,10,11,14,15,17,24,25,27,28,29,30,31,32,34,36,37,38,40,44,47,48,49,50},0)), _xlfn.IFS(C45=1,0,C45=2,0,C45=3,1,C45=4,1))</f>
        <v/>
      </c>
    </row>
    <row r="46" spans="1:6" x14ac:dyDescent="0.3">
      <c r="A46" s="155">
        <v>36</v>
      </c>
      <c r="B46" s="156" t="s">
        <v>986</v>
      </c>
      <c r="C46" s="176"/>
      <c r="D46" s="209" t="str" cm="1">
        <f t="array" ref="D46">_xlfn.IFS(C46="","",ISNUMBER(MATCH(A46,{2,4,5,6,7,9,12,13,16,18,19,20,21,22,23,26,33,35,39,41,42,43,45,46},0)), _xlfn.IFS(C46=1,1,C46=2,1,C46=3,0,C46=4,0),ISNUMBER(MATCH(A46,{1,3,8,10,11,14,15,17,24,25,27,28,29,30,31,32,34,36,37,38,40,44,47,48,49,50},0)), _xlfn.IFS(C46=1,0,C46=2,0,C46=3,1,C46=4,1))</f>
        <v/>
      </c>
      <c r="E46" s="33"/>
    </row>
    <row r="47" spans="1:6" x14ac:dyDescent="0.3">
      <c r="A47" s="149">
        <v>37</v>
      </c>
      <c r="B47" s="33" t="s">
        <v>987</v>
      </c>
      <c r="C47" s="175"/>
      <c r="D47" s="209" t="str" cm="1">
        <f t="array" ref="D47">_xlfn.IFS(C47="","",ISNUMBER(MATCH(A47,{2,4,5,6,7,9,12,13,16,18,19,20,21,22,23,26,33,35,39,41,42,43,45,46},0)), _xlfn.IFS(C47=1,1,C47=2,1,C47=3,0,C47=4,0),ISNUMBER(MATCH(A47,{1,3,8,10,11,14,15,17,24,25,27,28,29,30,31,32,34,36,37,38,40,44,47,48,49,50},0)), _xlfn.IFS(C47=1,0,C47=2,0,C47=3,1,C47=4,1))</f>
        <v/>
      </c>
      <c r="E47" s="33"/>
    </row>
    <row r="48" spans="1:6" x14ac:dyDescent="0.3">
      <c r="A48" s="155">
        <v>38</v>
      </c>
      <c r="B48" s="156" t="s">
        <v>988</v>
      </c>
      <c r="C48" s="176"/>
      <c r="D48" s="209" t="str" cm="1">
        <f t="array" ref="D48">_xlfn.IFS(C48="","",ISNUMBER(MATCH(A48,{2,4,5,6,7,9,12,13,16,18,19,20,21,22,23,26,33,35,39,41,42,43,45,46},0)), _xlfn.IFS(C48=1,1,C48=2,1,C48=3,0,C48=4,0),ISNUMBER(MATCH(A48,{1,3,8,10,11,14,15,17,24,25,27,28,29,30,31,32,34,36,37,38,40,44,47,48,49,50},0)), _xlfn.IFS(C48=1,0,C48=2,0,C48=3,1,C48=4,1))</f>
        <v/>
      </c>
      <c r="E48" s="33"/>
    </row>
    <row r="49" spans="1:6" x14ac:dyDescent="0.3">
      <c r="A49" s="149">
        <v>39</v>
      </c>
      <c r="B49" s="33" t="s">
        <v>989</v>
      </c>
      <c r="C49" s="175"/>
      <c r="D49" s="209" t="str" cm="1">
        <f t="array" ref="D49">_xlfn.IFS(C49="","",ISNUMBER(MATCH(A49,{2,4,5,6,7,9,12,13,16,18,19,20,21,22,23,26,33,35,39,41,42,43,45,46},0)), _xlfn.IFS(C49=1,1,C49=2,1,C49=3,0,C49=4,0),ISNUMBER(MATCH(A49,{1,3,8,10,11,14,15,17,24,25,27,28,29,30,31,32,34,36,37,38,40,44,47,48,49,50},0)), _xlfn.IFS(C49=1,0,C49=2,0,C49=3,1,C49=4,1))</f>
        <v/>
      </c>
      <c r="F49" s="101"/>
    </row>
    <row r="50" spans="1:6" x14ac:dyDescent="0.3">
      <c r="A50" s="155">
        <v>40</v>
      </c>
      <c r="B50" s="156" t="s">
        <v>990</v>
      </c>
      <c r="C50" s="176"/>
      <c r="D50" s="209" t="str" cm="1">
        <f t="array" ref="D50">_xlfn.IFS(C50="","",ISNUMBER(MATCH(A50,{2,4,5,6,7,9,12,13,16,18,19,20,21,22,23,26,33,35,39,41,42,43,45,46},0)), _xlfn.IFS(C50=1,1,C50=2,1,C50=3,0,C50=4,0),ISNUMBER(MATCH(A50,{1,3,8,10,11,14,15,17,24,25,27,28,29,30,31,32,34,36,37,38,40,44,47,48,49,50},0)), _xlfn.IFS(C50=1,0,C50=2,0,C50=3,1,C50=4,1))</f>
        <v/>
      </c>
      <c r="E50" s="33"/>
    </row>
    <row r="51" spans="1:6" x14ac:dyDescent="0.3">
      <c r="A51" s="149">
        <v>41</v>
      </c>
      <c r="B51" s="33" t="s">
        <v>991</v>
      </c>
      <c r="C51" s="175"/>
      <c r="D51" s="209" t="str" cm="1">
        <f t="array" ref="D51">_xlfn.IFS(C51="","",ISNUMBER(MATCH(A51,{2,4,5,6,7,9,12,13,16,18,19,20,21,22,23,26,33,35,39,41,42,43,45,46},0)), _xlfn.IFS(C51=1,1,C51=2,1,C51=3,0,C51=4,0),ISNUMBER(MATCH(A51,{1,3,8,10,11,14,15,17,24,25,27,28,29,30,31,32,34,36,37,38,40,44,47,48,49,50},0)), _xlfn.IFS(C51=1,0,C51=2,0,C51=3,1,C51=4,1))</f>
        <v/>
      </c>
    </row>
    <row r="52" spans="1:6" x14ac:dyDescent="0.3">
      <c r="A52" s="155">
        <v>42</v>
      </c>
      <c r="B52" s="156" t="s">
        <v>992</v>
      </c>
      <c r="C52" s="176"/>
      <c r="D52" s="209" t="str" cm="1">
        <f t="array" ref="D52">_xlfn.IFS(C52="","",ISNUMBER(MATCH(A52,{2,4,5,6,7,9,12,13,16,18,19,20,21,22,23,26,33,35,39,41,42,43,45,46},0)), _xlfn.IFS(C52=1,1,C52=2,1,C52=3,0,C52=4,0),ISNUMBER(MATCH(A52,{1,3,8,10,11,14,15,17,24,25,27,28,29,30,31,32,34,36,37,38,40,44,47,48,49,50},0)), _xlfn.IFS(C52=1,0,C52=2,0,C52=3,1,C52=4,1))</f>
        <v/>
      </c>
    </row>
    <row r="53" spans="1:6" x14ac:dyDescent="0.3">
      <c r="A53" s="149">
        <v>43</v>
      </c>
      <c r="B53" s="33" t="s">
        <v>993</v>
      </c>
      <c r="C53" s="175"/>
      <c r="D53" s="209" t="str" cm="1">
        <f t="array" ref="D53">_xlfn.IFS(C53="","",ISNUMBER(MATCH(A53,{2,4,5,6,7,9,12,13,16,18,19,20,21,22,23,26,33,35,39,41,42,43,45,46},0)), _xlfn.IFS(C53=1,1,C53=2,1,C53=3,0,C53=4,0),ISNUMBER(MATCH(A53,{1,3,8,10,11,14,15,17,24,25,27,28,29,30,31,32,34,36,37,38,40,44,47,48,49,50},0)), _xlfn.IFS(C53=1,0,C53=2,0,C53=3,1,C53=4,1))</f>
        <v/>
      </c>
    </row>
    <row r="54" spans="1:6" x14ac:dyDescent="0.3">
      <c r="A54" s="155">
        <v>44</v>
      </c>
      <c r="B54" s="156" t="s">
        <v>994</v>
      </c>
      <c r="C54" s="176"/>
      <c r="D54" s="209" t="str" cm="1">
        <f t="array" ref="D54">_xlfn.IFS(C54="","",ISNUMBER(MATCH(A54,{2,4,5,6,7,9,12,13,16,18,19,20,21,22,23,26,33,35,39,41,42,43,45,46},0)), _xlfn.IFS(C54=1,1,C54=2,1,C54=3,0,C54=4,0),ISNUMBER(MATCH(A54,{1,3,8,10,11,14,15,17,24,25,27,28,29,30,31,32,34,36,37,38,40,44,47,48,49,50},0)), _xlfn.IFS(C54=1,0,C54=2,0,C54=3,1,C54=4,1))</f>
        <v/>
      </c>
      <c r="E54" s="33"/>
    </row>
    <row r="55" spans="1:6" x14ac:dyDescent="0.3">
      <c r="A55" s="149">
        <v>45</v>
      </c>
      <c r="B55" s="33" t="s">
        <v>995</v>
      </c>
      <c r="C55" s="175"/>
      <c r="D55" s="209" t="str" cm="1">
        <f t="array" ref="D55">_xlfn.IFS(C55="","",ISNUMBER(MATCH(A55,{2,4,5,6,7,9,12,13,16,18,19,20,21,22,23,26,33,35,39,41,42,43,45,46},0)), _xlfn.IFS(C55=1,1,C55=2,1,C55=3,0,C55=4,0),ISNUMBER(MATCH(A55,{1,3,8,10,11,14,15,17,24,25,27,28,29,30,31,32,34,36,37,38,40,44,47,48,49,50},0)), _xlfn.IFS(C55=1,0,C55=2,0,C55=3,1,C55=4,1))</f>
        <v/>
      </c>
    </row>
    <row r="56" spans="1:6" x14ac:dyDescent="0.3">
      <c r="A56" s="155">
        <v>46</v>
      </c>
      <c r="B56" s="156" t="s">
        <v>996</v>
      </c>
      <c r="C56" s="176"/>
      <c r="D56" s="209" t="str" cm="1">
        <f t="array" ref="D56">_xlfn.IFS(C56="","",ISNUMBER(MATCH(A56,{2,4,5,6,7,9,12,13,16,18,19,20,21,22,23,26,33,35,39,41,42,43,45,46},0)), _xlfn.IFS(C56=1,1,C56=2,1,C56=3,0,C56=4,0),ISNUMBER(MATCH(A56,{1,3,8,10,11,14,15,17,24,25,27,28,29,30,31,32,34,36,37,38,40,44,47,48,49,50},0)), _xlfn.IFS(C56=1,0,C56=2,0,C56=3,1,C56=4,1))</f>
        <v/>
      </c>
    </row>
    <row r="57" spans="1:6" x14ac:dyDescent="0.3">
      <c r="A57" s="149">
        <v>47</v>
      </c>
      <c r="B57" s="33" t="s">
        <v>997</v>
      </c>
      <c r="C57" s="175"/>
      <c r="D57" s="209" t="str" cm="1">
        <f t="array" ref="D57">_xlfn.IFS(C57="","",ISNUMBER(MATCH(A57,{2,4,5,6,7,9,12,13,16,18,19,20,21,22,23,26,33,35,39,41,42,43,45,46},0)), _xlfn.IFS(C57=1,1,C57=2,1,C57=3,0,C57=4,0),ISNUMBER(MATCH(A57,{1,3,8,10,11,14,15,17,24,25,27,28,29,30,31,32,34,36,37,38,40,44,47,48,49,50},0)), _xlfn.IFS(C57=1,0,C57=2,0,C57=3,1,C57=4,1))</f>
        <v/>
      </c>
      <c r="E57" s="33"/>
    </row>
    <row r="58" spans="1:6" x14ac:dyDescent="0.3">
      <c r="A58" s="155">
        <v>48</v>
      </c>
      <c r="B58" s="156" t="s">
        <v>998</v>
      </c>
      <c r="C58" s="176"/>
      <c r="D58" s="209" t="str" cm="1">
        <f t="array" ref="D58">_xlfn.IFS(C58="","",ISNUMBER(MATCH(A58,{2,4,5,6,7,9,12,13,16,18,19,20,21,22,23,26,33,35,39,41,42,43,45,46},0)), _xlfn.IFS(C58=1,1,C58=2,1,C58=3,0,C58=4,0),ISNUMBER(MATCH(A58,{1,3,8,10,11,14,15,17,24,25,27,28,29,30,31,32,34,36,37,38,40,44,47,48,49,50},0)), _xlfn.IFS(C58=1,0,C58=2,0,C58=3,1,C58=4,1))</f>
        <v/>
      </c>
      <c r="E58" s="33"/>
    </row>
    <row r="59" spans="1:6" x14ac:dyDescent="0.3">
      <c r="A59" s="149">
        <v>49</v>
      </c>
      <c r="B59" s="33" t="s">
        <v>999</v>
      </c>
      <c r="C59" s="175"/>
      <c r="D59" s="209" t="str" cm="1">
        <f t="array" ref="D59">_xlfn.IFS(C59="","",ISNUMBER(MATCH(A59,{2,4,5,6,7,9,12,13,16,18,19,20,21,22,23,26,33,35,39,41,42,43,45,46},0)), _xlfn.IFS(C59=1,1,C59=2,1,C59=3,0,C59=4,0),ISNUMBER(MATCH(A59,{1,3,8,10,11,14,15,17,24,25,27,28,29,30,31,32,34,36,37,38,40,44,47,48,49,50},0)), _xlfn.IFS(C59=1,0,C59=2,0,C59=3,1,C59=4,1))</f>
        <v/>
      </c>
      <c r="E59" s="33"/>
    </row>
    <row r="60" spans="1:6" ht="20.25" thickBot="1" x14ac:dyDescent="0.35">
      <c r="A60" s="173">
        <v>50</v>
      </c>
      <c r="B60" s="174" t="s">
        <v>1000</v>
      </c>
      <c r="C60" s="177"/>
      <c r="D60" s="209" t="str" cm="1">
        <f t="array" ref="D60">_xlfn.IFS(C60="","",ISNUMBER(MATCH(A60,{2,4,5,6,7,9,12,13,16,18,19,20,21,22,23,26,33,35,39,41,42,43,45,46},0)), _xlfn.IFS(C60=1,1,C60=2,1,C60=3,0,C60=4,0),ISNUMBER(MATCH(A60,{1,3,8,10,11,14,15,17,24,25,27,28,29,30,31,32,34,36,37,38,40,44,47,48,49,50},0)), _xlfn.IFS(C60=1,0,C60=2,0,C60=3,1,C60=4,1))</f>
        <v/>
      </c>
      <c r="E60" s="33"/>
    </row>
    <row r="63" spans="1:6" x14ac:dyDescent="0.3">
      <c r="A63" s="131"/>
      <c r="B63" s="170" t="s">
        <v>797</v>
      </c>
      <c r="C63" s="131"/>
    </row>
    <row r="64" spans="1:6" ht="48" x14ac:dyDescent="0.3">
      <c r="B64" s="277" t="s">
        <v>1119</v>
      </c>
    </row>
  </sheetData>
  <sheetProtection algorithmName="SHA-512" hashValue="YyQ7rWNz/Vp4wY3LQj4Jgz8QxY0qd5+R0PLqQHn7uXmywnq90jqGby8kaQ/Ao4Y+sHJ0WRz6m/SmqhX0/unTcw==" saltValue="uOiZ1RJ3tfoIS2tg3r+Q7w==" spinCount="100000" sheet="1" objects="1" scenarios="1"/>
  <mergeCells count="2">
    <mergeCell ref="A6:C6"/>
    <mergeCell ref="A7:C7"/>
  </mergeCells>
  <phoneticPr fontId="16" type="noConversion"/>
  <dataValidations count="1">
    <dataValidation type="list" allowBlank="1" showInputMessage="1" showErrorMessage="1" sqref="C11:C60" xr:uid="{1A9880CE-6F91-6C48-9E57-5AF66E891511}">
      <formula1>"1,2,3,4"</formula1>
    </dataValidation>
  </dataValidation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C8D42-4371-1D4C-B45A-B8BB0D678E09}">
  <sheetPr>
    <tabColor theme="7"/>
  </sheetPr>
  <dimension ref="A1:AE37"/>
  <sheetViews>
    <sheetView workbookViewId="0">
      <selection activeCell="C11" sqref="C11"/>
    </sheetView>
  </sheetViews>
  <sheetFormatPr defaultColWidth="10.875" defaultRowHeight="19.5" x14ac:dyDescent="0.3"/>
  <cols>
    <col min="1" max="1" width="8.375" style="28" customWidth="1"/>
    <col min="2" max="2" width="106" style="28" customWidth="1"/>
    <col min="3" max="3" width="12.5" style="28" customWidth="1"/>
    <col min="4" max="4" width="10.875" style="103"/>
    <col min="5" max="5" width="10.875" style="28"/>
    <col min="6" max="6" width="54.125" style="28" customWidth="1"/>
    <col min="7" max="8" width="12.5" style="28" customWidth="1"/>
    <col min="9" max="10" width="19.625" style="28" bestFit="1" customWidth="1"/>
    <col min="11" max="11" width="21.5" style="28" bestFit="1" customWidth="1"/>
    <col min="12" max="30" width="10.875" style="28"/>
    <col min="31" max="31" width="10.875" style="66"/>
    <col min="32" max="16384" width="10.875" style="28"/>
  </cols>
  <sheetData>
    <row r="1" spans="1:31" s="20" customFormat="1" x14ac:dyDescent="0.3">
      <c r="D1" s="267"/>
      <c r="AE1" s="58"/>
    </row>
    <row r="2" spans="1:31" s="20" customFormat="1" ht="45.75" x14ac:dyDescent="0.3">
      <c r="A2" s="59" t="s">
        <v>1106</v>
      </c>
      <c r="D2" s="267"/>
      <c r="AE2" s="58"/>
    </row>
    <row r="3" spans="1:31" s="23" customFormat="1" ht="31.5" x14ac:dyDescent="0.5">
      <c r="A3" s="172" t="s">
        <v>1123</v>
      </c>
      <c r="D3" s="130"/>
      <c r="F3" s="130"/>
      <c r="G3" s="130"/>
      <c r="H3" s="130"/>
      <c r="I3" s="130"/>
      <c r="J3" s="130"/>
      <c r="AE3" s="61"/>
    </row>
    <row r="5" spans="1:31" x14ac:dyDescent="0.3">
      <c r="A5" s="131" t="s">
        <v>818</v>
      </c>
      <c r="B5" s="132"/>
      <c r="C5" s="132"/>
    </row>
    <row r="6" spans="1:31" s="133" customFormat="1" x14ac:dyDescent="0.25">
      <c r="A6" s="351" t="s">
        <v>1001</v>
      </c>
      <c r="B6" s="352"/>
      <c r="C6" s="353"/>
      <c r="D6" s="268"/>
      <c r="AE6" s="134"/>
    </row>
    <row r="7" spans="1:31" s="133" customFormat="1" x14ac:dyDescent="0.25">
      <c r="A7" s="354" t="s">
        <v>934</v>
      </c>
      <c r="B7" s="355"/>
      <c r="C7" s="356"/>
      <c r="D7" s="268"/>
      <c r="AE7" s="134"/>
    </row>
    <row r="8" spans="1:31" ht="20.25" thickBot="1" x14ac:dyDescent="0.35"/>
    <row r="9" spans="1:31" x14ac:dyDescent="0.3">
      <c r="A9" s="138"/>
      <c r="B9" s="139"/>
      <c r="C9" s="140"/>
      <c r="F9" s="139" t="s">
        <v>132</v>
      </c>
      <c r="G9" s="141"/>
      <c r="H9" s="142" t="s">
        <v>932</v>
      </c>
      <c r="I9" s="143"/>
      <c r="J9" s="139"/>
      <c r="K9" s="139"/>
    </row>
    <row r="10" spans="1:31" ht="75" x14ac:dyDescent="0.3">
      <c r="A10" s="144" t="s">
        <v>1</v>
      </c>
      <c r="B10" s="144" t="s">
        <v>2</v>
      </c>
      <c r="C10" s="145" t="s">
        <v>933</v>
      </c>
      <c r="D10" s="269" t="s">
        <v>1619</v>
      </c>
      <c r="F10" s="146" t="s">
        <v>138</v>
      </c>
      <c r="G10" s="147" t="s">
        <v>134</v>
      </c>
      <c r="H10" s="147" t="s">
        <v>135</v>
      </c>
      <c r="I10" s="148" t="s">
        <v>317</v>
      </c>
      <c r="J10" s="146" t="s">
        <v>136</v>
      </c>
      <c r="K10" s="146" t="s">
        <v>1448</v>
      </c>
    </row>
    <row r="11" spans="1:31" s="33" customFormat="1" x14ac:dyDescent="0.25">
      <c r="A11" s="149">
        <v>1</v>
      </c>
      <c r="B11" s="33" t="s">
        <v>935</v>
      </c>
      <c r="C11" s="175"/>
      <c r="D11" s="209" t="str" cm="1">
        <f t="array" ref="D11">_xlfn.IFS(C11="","",ISNUMBER(MATCH(A11,{1,7,8,10},0)), _xlfn.IFS(C11=1,1,C11=2,1,C11=3,0,C11=4,0),ISNUMBER(MATCH(A11,{2,3,4,5,6,9},0)), _xlfn.IFS(C11=1,0,C11=2,0,C11=3,1,C11=4,1))</f>
        <v/>
      </c>
      <c r="F11" s="8" t="s">
        <v>279</v>
      </c>
      <c r="G11" s="180" t="str" cm="1">
        <f t="array" ref="G11">IF(COUNTA(C$11:C$230)&gt;0,SUM(SUMIF(A$11:A$230,{1,2,3,4,5,6,7,8,9,10},D$11:D$230)),"")</f>
        <v/>
      </c>
      <c r="H11" s="181" t="s">
        <v>740</v>
      </c>
      <c r="I11" s="182" t="str" cm="1">
        <f t="array" ref="I11">_xlfn.IFS(G11="","",G11&lt;=5,"Not elevated ",G11&gt;=6,"Elevated autistic traits")</f>
        <v/>
      </c>
      <c r="J11" s="183" t="s">
        <v>1120</v>
      </c>
      <c r="K11" s="183" t="s">
        <v>1455</v>
      </c>
      <c r="AE11" s="62"/>
    </row>
    <row r="12" spans="1:31" s="33" customFormat="1" x14ac:dyDescent="0.25">
      <c r="A12" s="155">
        <v>2</v>
      </c>
      <c r="B12" s="156" t="s">
        <v>936</v>
      </c>
      <c r="C12" s="176"/>
      <c r="D12" s="209" t="str" cm="1">
        <f t="array" ref="D12">_xlfn.IFS(C12="","",ISNUMBER(MATCH(A12,{1,7,8,10},0)), _xlfn.IFS(C12=1,1,C12=2,1,C12=3,0,C12=4,0),ISNUMBER(MATCH(A12,{2,3,4,5,6,9},0)), _xlfn.IFS(C12=1,0,C12=2,0,C12=3,1,C12=4,1))</f>
        <v/>
      </c>
      <c r="AE12" s="62"/>
    </row>
    <row r="13" spans="1:31" s="33" customFormat="1" x14ac:dyDescent="0.25">
      <c r="A13" s="149">
        <v>3</v>
      </c>
      <c r="B13" s="33" t="s">
        <v>937</v>
      </c>
      <c r="C13" s="175"/>
      <c r="D13" s="209" t="str" cm="1">
        <f t="array" ref="D13">_xlfn.IFS(C13="","",ISNUMBER(MATCH(A13,{1,7,8,10},0)), _xlfn.IFS(C13=1,1,C13=2,1,C13=3,0,C13=4,0),ISNUMBER(MATCH(A13,{2,3,4,5,6,9},0)), _xlfn.IFS(C13=1,0,C13=2,0,C13=3,1,C13=4,1))</f>
        <v/>
      </c>
      <c r="F13" s="28"/>
      <c r="G13" s="28"/>
      <c r="H13" s="28"/>
      <c r="I13" s="28"/>
      <c r="J13" s="28"/>
      <c r="K13" s="28"/>
      <c r="AE13" s="62"/>
    </row>
    <row r="14" spans="1:31" s="33" customFormat="1" ht="21" x14ac:dyDescent="0.35">
      <c r="A14" s="155">
        <v>4</v>
      </c>
      <c r="B14" s="156" t="s">
        <v>938</v>
      </c>
      <c r="C14" s="176"/>
      <c r="D14" s="209" t="str" cm="1">
        <f t="array" ref="D14">_xlfn.IFS(C14="","",ISNUMBER(MATCH(A14,{1,7,8,10},0)), _xlfn.IFS(C14=1,1,C14=2,1,C14=3,0,C14=4,0),ISNUMBER(MATCH(A14,{2,3,4,5,6,9},0)), _xlfn.IFS(C14=1,0,C14=2,0,C14=3,1,C14=4,1))</f>
        <v/>
      </c>
      <c r="F14" s="166" t="s">
        <v>237</v>
      </c>
      <c r="G14" s="132"/>
      <c r="H14" s="132"/>
      <c r="I14" s="132"/>
      <c r="J14" s="132"/>
      <c r="K14" s="132"/>
      <c r="AE14" s="62"/>
    </row>
    <row r="15" spans="1:31" s="33" customFormat="1" x14ac:dyDescent="0.25">
      <c r="A15" s="149">
        <v>5</v>
      </c>
      <c r="B15" s="33" t="s">
        <v>939</v>
      </c>
      <c r="C15" s="175"/>
      <c r="D15" s="209" t="str" cm="1">
        <f t="array" ref="D15">_xlfn.IFS(C15="","",ISNUMBER(MATCH(A15,{1,7,8,10},0)), _xlfn.IFS(C15=1,1,C15=2,1,C15=3,0,C15=4,0),ISNUMBER(MATCH(A15,{2,3,4,5,6,9},0)), _xlfn.IFS(C15=1,0,C15=2,0,C15=3,1,C15=4,1))</f>
        <v/>
      </c>
      <c r="F15" s="184" t="s">
        <v>1114</v>
      </c>
      <c r="G15" s="28"/>
      <c r="H15" s="28"/>
      <c r="I15" s="28"/>
      <c r="J15" s="28"/>
      <c r="K15" s="28"/>
      <c r="AE15" s="62"/>
    </row>
    <row r="16" spans="1:31" s="33" customFormat="1" x14ac:dyDescent="0.25">
      <c r="A16" s="155">
        <v>6</v>
      </c>
      <c r="B16" s="156" t="s">
        <v>940</v>
      </c>
      <c r="C16" s="176"/>
      <c r="D16" s="209" t="str" cm="1">
        <f t="array" ref="D16">_xlfn.IFS(C16="","",ISNUMBER(MATCH(A16,{1,7,8,10},0)), _xlfn.IFS(C16=1,1,C16=2,1,C16=3,0,C16=4,0),ISNUMBER(MATCH(A16,{2,3,4,5,6,9},0)), _xlfn.IFS(C16=1,0,C16=2,0,C16=3,1,C16=4,1))</f>
        <v/>
      </c>
      <c r="G16" s="28"/>
      <c r="H16" s="28"/>
      <c r="I16" s="28"/>
      <c r="J16" s="28"/>
      <c r="K16" s="28"/>
      <c r="AE16" s="62"/>
    </row>
    <row r="17" spans="1:31" s="33" customFormat="1" x14ac:dyDescent="0.25">
      <c r="A17" s="149">
        <v>7</v>
      </c>
      <c r="B17" s="33" t="s">
        <v>941</v>
      </c>
      <c r="C17" s="175"/>
      <c r="D17" s="209" t="str" cm="1">
        <f t="array" ref="D17">_xlfn.IFS(C17="","",ISNUMBER(MATCH(A17,{1,7,8,10},0)), _xlfn.IFS(C17=1,1,C17=2,1,C17=3,0,C17=4,0),ISNUMBER(MATCH(A17,{2,3,4,5,6,9},0)), _xlfn.IFS(C17=1,0,C17=2,0,C17=3,1,C17=4,1))</f>
        <v/>
      </c>
      <c r="F17" s="51" t="s">
        <v>150</v>
      </c>
      <c r="G17" s="28"/>
      <c r="H17" s="28"/>
      <c r="I17" s="28"/>
      <c r="J17" s="28"/>
      <c r="K17" s="28"/>
      <c r="AE17" s="62"/>
    </row>
    <row r="18" spans="1:31" s="33" customFormat="1" x14ac:dyDescent="0.25">
      <c r="A18" s="155">
        <v>8</v>
      </c>
      <c r="B18" s="156" t="s">
        <v>942</v>
      </c>
      <c r="C18" s="176"/>
      <c r="D18" s="209" t="str" cm="1">
        <f t="array" ref="D18">_xlfn.IFS(C18="","",ISNUMBER(MATCH(A18,{1,7,8,10},0)), _xlfn.IFS(C18=1,1,C18=2,1,C18=3,0,C18=4,0),ISNUMBER(MATCH(A18,{2,3,4,5,6,9},0)), _xlfn.IFS(C18=1,0,C18=2,0,C18=3,1,C18=4,1))</f>
        <v/>
      </c>
      <c r="F18" s="185" t="s">
        <v>1103</v>
      </c>
      <c r="G18" s="28"/>
      <c r="H18" s="28"/>
      <c r="I18" s="28"/>
      <c r="J18" s="28"/>
      <c r="K18" s="28"/>
      <c r="AE18" s="62"/>
    </row>
    <row r="19" spans="1:31" s="33" customFormat="1" x14ac:dyDescent="0.25">
      <c r="A19" s="149">
        <v>9</v>
      </c>
      <c r="B19" s="33" t="s">
        <v>943</v>
      </c>
      <c r="C19" s="175"/>
      <c r="D19" s="209" t="str" cm="1">
        <f t="array" ref="D19">_xlfn.IFS(C19="","",ISNUMBER(MATCH(A19,{1,7,8,10},0)), _xlfn.IFS(C19=1,1,C19=2,1,C19=3,0,C19=4,0),ISNUMBER(MATCH(A19,{2,3,4,5,6,9},0)), _xlfn.IFS(C19=1,0,C19=2,0,C19=3,1,C19=4,1))</f>
        <v/>
      </c>
      <c r="F19" s="185" t="s">
        <v>1121</v>
      </c>
      <c r="G19" s="28"/>
      <c r="H19" s="28"/>
      <c r="I19" s="28"/>
      <c r="J19" s="28"/>
      <c r="K19" s="28"/>
      <c r="AE19" s="62"/>
    </row>
    <row r="20" spans="1:31" s="33" customFormat="1" ht="20.25" thickBot="1" x14ac:dyDescent="0.3">
      <c r="A20" s="173">
        <v>10</v>
      </c>
      <c r="B20" s="174" t="s">
        <v>944</v>
      </c>
      <c r="C20" s="177"/>
      <c r="D20" s="209" t="str" cm="1">
        <f t="array" ref="D20">_xlfn.IFS(C20="","",ISNUMBER(MATCH(A20,{1,7,8,10},0)), _xlfn.IFS(C20=1,1,C20=2,1,C20=3,0,C20=4,0),ISNUMBER(MATCH(A20,{2,3,4,5,6,9},0)), _xlfn.IFS(C20=1,0,C20=2,0,C20=3,1,C20=4,1))</f>
        <v/>
      </c>
      <c r="G20" s="28"/>
      <c r="H20" s="28"/>
      <c r="I20" s="28"/>
      <c r="J20" s="28"/>
      <c r="K20" s="28"/>
      <c r="AE20" s="62"/>
    </row>
    <row r="21" spans="1:31" s="33" customFormat="1" x14ac:dyDescent="0.25">
      <c r="A21" s="28"/>
      <c r="B21" s="28"/>
      <c r="C21" s="28"/>
      <c r="D21" s="209"/>
      <c r="F21" s="33" t="s">
        <v>1582</v>
      </c>
      <c r="G21" s="28"/>
      <c r="H21" s="28"/>
      <c r="AE21" s="62"/>
    </row>
    <row r="22" spans="1:31" s="33" customFormat="1" x14ac:dyDescent="0.25">
      <c r="A22" s="28"/>
      <c r="B22" s="28"/>
      <c r="C22" s="28"/>
      <c r="D22" s="209"/>
      <c r="F22" s="185" t="s">
        <v>1578</v>
      </c>
      <c r="G22" s="28"/>
      <c r="H22" s="28" t="s">
        <v>1579</v>
      </c>
      <c r="AE22" s="62"/>
    </row>
    <row r="23" spans="1:31" s="33" customFormat="1" x14ac:dyDescent="0.3">
      <c r="A23" s="131"/>
      <c r="B23" s="170" t="s">
        <v>797</v>
      </c>
      <c r="C23" s="131"/>
      <c r="D23" s="209"/>
      <c r="F23" s="185" t="s">
        <v>1580</v>
      </c>
      <c r="G23" s="28"/>
      <c r="H23" s="28" t="s">
        <v>1581</v>
      </c>
      <c r="AE23" s="62"/>
    </row>
    <row r="24" spans="1:31" s="33" customFormat="1" ht="47.25" x14ac:dyDescent="0.25">
      <c r="A24" s="28"/>
      <c r="B24" s="171" t="s">
        <v>1169</v>
      </c>
      <c r="C24" s="28"/>
      <c r="D24" s="209"/>
      <c r="F24" s="185"/>
      <c r="G24" s="28"/>
      <c r="H24" s="28"/>
      <c r="I24" s="28"/>
      <c r="J24" s="28"/>
      <c r="K24" s="28"/>
      <c r="AE24" s="62"/>
    </row>
    <row r="25" spans="1:31" s="33" customFormat="1" x14ac:dyDescent="0.25">
      <c r="A25" s="28"/>
      <c r="B25" s="28"/>
      <c r="C25" s="28"/>
      <c r="D25" s="209"/>
      <c r="F25" s="28"/>
      <c r="G25" s="28"/>
      <c r="H25" s="28"/>
      <c r="I25" s="28"/>
      <c r="J25" s="28"/>
      <c r="K25" s="28"/>
      <c r="AE25" s="62"/>
    </row>
    <row r="26" spans="1:31" s="33" customFormat="1" x14ac:dyDescent="0.25">
      <c r="A26" s="28"/>
      <c r="B26" s="28"/>
      <c r="C26" s="28"/>
      <c r="D26" s="209"/>
      <c r="F26" s="28"/>
      <c r="G26" s="28"/>
      <c r="H26" s="28"/>
      <c r="I26" s="28"/>
      <c r="J26" s="28"/>
      <c r="K26" s="28"/>
      <c r="AE26" s="62"/>
    </row>
    <row r="27" spans="1:31" s="33" customFormat="1" x14ac:dyDescent="0.25">
      <c r="A27" s="28"/>
      <c r="B27" s="28"/>
      <c r="C27" s="28"/>
      <c r="D27" s="209"/>
      <c r="F27" s="184"/>
      <c r="G27" s="28"/>
      <c r="H27" s="28"/>
      <c r="I27" s="28"/>
      <c r="J27" s="28"/>
      <c r="K27" s="28"/>
      <c r="AE27" s="62"/>
    </row>
    <row r="28" spans="1:31" ht="21" x14ac:dyDescent="0.35">
      <c r="F28" s="168"/>
    </row>
    <row r="29" spans="1:31" x14ac:dyDescent="0.3">
      <c r="F29" s="184"/>
    </row>
    <row r="30" spans="1:31" x14ac:dyDescent="0.3">
      <c r="F30" s="33"/>
    </row>
    <row r="31" spans="1:31" x14ac:dyDescent="0.3">
      <c r="F31" s="51"/>
    </row>
    <row r="32" spans="1:31" x14ac:dyDescent="0.3">
      <c r="F32" s="185"/>
    </row>
    <row r="33" spans="6:6" x14ac:dyDescent="0.3">
      <c r="F33" s="185"/>
    </row>
    <row r="34" spans="6:6" x14ac:dyDescent="0.3">
      <c r="F34" s="185"/>
    </row>
    <row r="35" spans="6:6" x14ac:dyDescent="0.3">
      <c r="F35" s="185"/>
    </row>
    <row r="37" spans="6:6" x14ac:dyDescent="0.3">
      <c r="F37" s="187"/>
    </row>
  </sheetData>
  <sheetProtection algorithmName="SHA-512" hashValue="0ZJvSoIup9omF5PEwDiZpC8TfgzWDa3jCg5InN0SfXa4m/x4u7yUwaZxiB8CYRMo80X03HSySEeLFYF2Vxn3cw==" saltValue="UqsQEGFhb5b2HAQFOoFhpw==" spinCount="100000" sheet="1" objects="1" scenarios="1"/>
  <mergeCells count="2">
    <mergeCell ref="A6:C6"/>
    <mergeCell ref="A7:C7"/>
  </mergeCells>
  <dataValidations count="1">
    <dataValidation type="list" allowBlank="1" showInputMessage="1" showErrorMessage="1" sqref="C11:C20" xr:uid="{8688758B-9313-874F-9FB3-74E958913840}">
      <formula1>"1,2,3,4"</formula1>
    </dataValidation>
  </dataValidation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443B8-1C58-F645-8D1C-AF40B3C4F5F4}">
  <sheetPr>
    <tabColor theme="7"/>
  </sheetPr>
  <dimension ref="A1:AE231"/>
  <sheetViews>
    <sheetView workbookViewId="0">
      <selection activeCell="C11" sqref="C11"/>
    </sheetView>
  </sheetViews>
  <sheetFormatPr defaultColWidth="10.875" defaultRowHeight="19.5" x14ac:dyDescent="0.3"/>
  <cols>
    <col min="1" max="1" width="8.375" style="28" customWidth="1"/>
    <col min="2" max="2" width="106" style="28" customWidth="1"/>
    <col min="3" max="3" width="12.5" style="28" customWidth="1"/>
    <col min="4" max="4" width="10.875" style="103"/>
    <col min="5" max="5" width="10.875" style="28"/>
    <col min="6" max="6" width="54.125" style="28" customWidth="1"/>
    <col min="7" max="8" width="12.5" style="28" customWidth="1"/>
    <col min="9" max="9" width="19.625" style="28" bestFit="1" customWidth="1"/>
    <col min="10" max="10" width="115" style="28" bestFit="1" customWidth="1"/>
    <col min="11" max="11" width="99.125" style="28" bestFit="1" customWidth="1"/>
    <col min="12" max="30" width="10.875" style="28"/>
    <col min="31" max="31" width="10.875" style="66"/>
    <col min="32" max="16384" width="10.875" style="28"/>
  </cols>
  <sheetData>
    <row r="1" spans="1:31" s="20" customFormat="1" x14ac:dyDescent="0.3">
      <c r="D1" s="267"/>
      <c r="AE1" s="58"/>
    </row>
    <row r="2" spans="1:31" s="20" customFormat="1" ht="45.75" x14ac:dyDescent="0.3">
      <c r="A2" s="59" t="s">
        <v>1106</v>
      </c>
      <c r="D2" s="267"/>
      <c r="AE2" s="58"/>
    </row>
    <row r="3" spans="1:31" s="23" customFormat="1" ht="31.5" x14ac:dyDescent="0.5">
      <c r="A3" s="172" t="s">
        <v>946</v>
      </c>
      <c r="D3" s="130"/>
      <c r="F3" s="130"/>
      <c r="G3" s="130"/>
      <c r="H3" s="130"/>
      <c r="I3" s="130"/>
      <c r="J3" s="130"/>
      <c r="AE3" s="61"/>
    </row>
    <row r="5" spans="1:31" x14ac:dyDescent="0.3">
      <c r="A5" s="131" t="s">
        <v>818</v>
      </c>
      <c r="B5" s="132"/>
      <c r="C5" s="132"/>
    </row>
    <row r="6" spans="1:31" s="133" customFormat="1" ht="51" customHeight="1" x14ac:dyDescent="0.25">
      <c r="A6" s="339" t="s">
        <v>1025</v>
      </c>
      <c r="B6" s="340"/>
      <c r="C6" s="341"/>
      <c r="D6" s="268"/>
      <c r="AE6" s="134"/>
    </row>
    <row r="7" spans="1:31" s="133" customFormat="1" x14ac:dyDescent="0.25">
      <c r="A7" s="342" t="s">
        <v>1066</v>
      </c>
      <c r="B7" s="343"/>
      <c r="C7" s="344"/>
      <c r="D7" s="268"/>
      <c r="AE7" s="134"/>
    </row>
    <row r="8" spans="1:31" ht="20.25" thickBot="1" x14ac:dyDescent="0.35"/>
    <row r="9" spans="1:31" x14ac:dyDescent="0.3">
      <c r="A9" s="138"/>
      <c r="B9" s="139"/>
      <c r="C9" s="140"/>
      <c r="D9" s="269"/>
      <c r="E9" s="216"/>
      <c r="F9" s="139" t="s">
        <v>132</v>
      </c>
      <c r="G9" s="141"/>
      <c r="H9" s="142" t="s">
        <v>1069</v>
      </c>
      <c r="I9" s="143"/>
      <c r="J9" s="139"/>
      <c r="K9" s="139"/>
    </row>
    <row r="10" spans="1:31" ht="75" x14ac:dyDescent="0.3">
      <c r="A10" s="144" t="s">
        <v>1</v>
      </c>
      <c r="B10" s="144" t="s">
        <v>2</v>
      </c>
      <c r="C10" s="145" t="s">
        <v>820</v>
      </c>
      <c r="D10" s="269" t="s">
        <v>419</v>
      </c>
      <c r="E10" s="219"/>
      <c r="F10" s="146" t="s">
        <v>133</v>
      </c>
      <c r="G10" s="147" t="s">
        <v>134</v>
      </c>
      <c r="H10" s="147" t="s">
        <v>135</v>
      </c>
      <c r="I10" s="148" t="s">
        <v>317</v>
      </c>
      <c r="J10" s="146" t="s">
        <v>136</v>
      </c>
      <c r="K10" s="146" t="s">
        <v>1448</v>
      </c>
    </row>
    <row r="11" spans="1:31" s="33" customFormat="1" x14ac:dyDescent="0.25">
      <c r="A11" s="149">
        <v>1</v>
      </c>
      <c r="B11" s="33" t="s">
        <v>1026</v>
      </c>
      <c r="C11" s="175"/>
      <c r="D11" s="209" t="str" cm="1">
        <f t="array" ref="D11">IF(ISNUMBER(MATCH(A11,{8,15,19,23,28},0)), _xlfn.IFS(C11="","",C11=1,5,C11=2,4,C11=3,3,C11=4,2,C11=5,1),IF(C11="","",C11))</f>
        <v/>
      </c>
      <c r="F11" s="150" t="s">
        <v>1642</v>
      </c>
      <c r="G11" s="278" t="str" cm="1">
        <f t="array" ref="G11">IF(COUNTA(C$11:C$230)&gt;0,SUM(SUMIF(A$11:A$230,{8,10,15,17,28,30,35},D$11:D$230)),"")</f>
        <v/>
      </c>
      <c r="H11" s="152" t="s">
        <v>740</v>
      </c>
      <c r="I11" s="198" t="str">
        <f t="shared" ref="I11:I16" si="0">IF(H11="","","Not available")</f>
        <v>Not available</v>
      </c>
      <c r="J11" s="221" t="s">
        <v>1132</v>
      </c>
      <c r="K11" s="221" t="s">
        <v>1519</v>
      </c>
      <c r="AE11" s="62"/>
    </row>
    <row r="12" spans="1:31" s="33" customFormat="1" x14ac:dyDescent="0.25">
      <c r="A12" s="155">
        <v>2</v>
      </c>
      <c r="B12" s="156" t="s">
        <v>1027</v>
      </c>
      <c r="C12" s="176"/>
      <c r="D12" s="209" t="str" cm="1">
        <f t="array" ref="D12">IF(ISNUMBER(MATCH(A12,{8,15,19,23,28},0)), _xlfn.IFS(C12="","",C12=1,5,C12=2,4,C12=3,3,C12=4,2,C12=5,1),IF(C12="","",C12))</f>
        <v/>
      </c>
      <c r="F12" s="157" t="s">
        <v>950</v>
      </c>
      <c r="G12" s="279" t="str" cm="1">
        <f t="array" ref="G12">IF(COUNTA(C$11:C$230)&gt;0,SUM(SUMIF(A$11:A$230,{13,19,23,26,33,37,42},D$11:D$230)),"")</f>
        <v/>
      </c>
      <c r="H12" s="159" t="s">
        <v>740</v>
      </c>
      <c r="I12" s="190" t="str">
        <f t="shared" si="0"/>
        <v>Not available</v>
      </c>
      <c r="J12" s="223" t="s">
        <v>1133</v>
      </c>
      <c r="K12" s="223" t="s">
        <v>1520</v>
      </c>
      <c r="AE12" s="62"/>
    </row>
    <row r="13" spans="1:31" s="33" customFormat="1" x14ac:dyDescent="0.25">
      <c r="A13" s="149">
        <v>3</v>
      </c>
      <c r="B13" s="33" t="s">
        <v>1028</v>
      </c>
      <c r="C13" s="175"/>
      <c r="D13" s="209" t="str" cm="1">
        <f t="array" ref="D13">IF(ISNUMBER(MATCH(A13,{8,15,19,23,28},0)), _xlfn.IFS(C13="","",C13=1,5,C13=2,4,C13=3,3,C13=4,2,C13=5,1),IF(C13="","",C13))</f>
        <v/>
      </c>
      <c r="F13" s="157" t="s">
        <v>1643</v>
      </c>
      <c r="G13" s="279" t="str" cm="1">
        <f t="array" ref="G13">IF(COUNTA(C$11:C$230)&gt;0,SUM(SUMIF(A$11:A$230,{3,6,9,16,22,29,39},D$11:D$230)),"")</f>
        <v/>
      </c>
      <c r="H13" s="159" t="s">
        <v>740</v>
      </c>
      <c r="I13" s="190" t="str">
        <f t="shared" si="0"/>
        <v>Not available</v>
      </c>
      <c r="J13" s="223" t="s">
        <v>1135</v>
      </c>
      <c r="K13" s="223" t="s">
        <v>1521</v>
      </c>
      <c r="AE13" s="62"/>
    </row>
    <row r="14" spans="1:31" s="33" customFormat="1" x14ac:dyDescent="0.25">
      <c r="A14" s="155">
        <v>4</v>
      </c>
      <c r="B14" s="156" t="s">
        <v>1029</v>
      </c>
      <c r="C14" s="176"/>
      <c r="D14" s="209" t="str" cm="1">
        <f t="array" ref="D14">IF(ISNUMBER(MATCH(A14,{8,15,19,23,28},0)), _xlfn.IFS(C14="","",C14=1,5,C14=2,4,C14=3,3,C14=4,2,C14=5,1),IF(C14="","",C14))</f>
        <v/>
      </c>
      <c r="F14" s="157" t="s">
        <v>1644</v>
      </c>
      <c r="G14" s="279" t="str" cm="1">
        <f t="array" ref="G14">IF(COUNTA(C$11:C$230)&gt;0,SUM(SUMIF(A$11:A$230,{2,5,14,21,27,34,38},D$11:D$230)),"")</f>
        <v/>
      </c>
      <c r="H14" s="159" t="s">
        <v>740</v>
      </c>
      <c r="I14" s="190" t="str">
        <f t="shared" si="0"/>
        <v>Not available</v>
      </c>
      <c r="J14" s="223" t="s">
        <v>1134</v>
      </c>
      <c r="K14" s="223" t="s">
        <v>1522</v>
      </c>
      <c r="AE14" s="62"/>
    </row>
    <row r="15" spans="1:31" s="33" customFormat="1" x14ac:dyDescent="0.25">
      <c r="A15" s="149">
        <v>5</v>
      </c>
      <c r="B15" s="33" t="s">
        <v>1030</v>
      </c>
      <c r="C15" s="175"/>
      <c r="D15" s="209" t="str" cm="1">
        <f t="array" ref="D15">IF(ISNUMBER(MATCH(A15,{8,15,19,23,28},0)), _xlfn.IFS(C15="","",C15=1,5,C15=2,4,C15=3,3,C15=4,2,C15=5,1),IF(C15="","",C15))</f>
        <v/>
      </c>
      <c r="F15" s="157" t="s">
        <v>1645</v>
      </c>
      <c r="G15" s="279" t="str" cm="1">
        <f t="array" ref="G15">IF(COUNTA(C$11:C$230)&gt;0,SUM(SUMIF(A$11:A$230,{1,7,12,20,25,32,41},D$11:D$230)),"")</f>
        <v/>
      </c>
      <c r="H15" s="159" t="s">
        <v>740</v>
      </c>
      <c r="I15" s="190" t="str">
        <f t="shared" si="0"/>
        <v>Not available</v>
      </c>
      <c r="J15" s="223" t="s">
        <v>1136</v>
      </c>
      <c r="K15" s="223" t="s">
        <v>1523</v>
      </c>
      <c r="AE15" s="62"/>
    </row>
    <row r="16" spans="1:31" s="33" customFormat="1" x14ac:dyDescent="0.25">
      <c r="A16" s="155">
        <v>6</v>
      </c>
      <c r="B16" s="156" t="s">
        <v>1067</v>
      </c>
      <c r="C16" s="176"/>
      <c r="D16" s="209" t="str" cm="1">
        <f t="array" ref="D16">IF(ISNUMBER(MATCH(A16,{8,15,19,23,28},0)), _xlfn.IFS(C16="","",C16=1,5,C16=2,4,C16=3,3,C16=4,2,C16=5,1),IF(C16="","",C16))</f>
        <v/>
      </c>
      <c r="F16" s="157" t="s">
        <v>1646</v>
      </c>
      <c r="G16" s="279" t="str" cm="1">
        <f t="array" ref="G16">IF(COUNTA(C$11:C$230)&gt;0,SUM(SUMIF(A$11:A$230,{4,11,18,24,31,36,40},D$11:D$230)),"")</f>
        <v/>
      </c>
      <c r="H16" s="159" t="s">
        <v>740</v>
      </c>
      <c r="I16" s="190" t="str">
        <f t="shared" si="0"/>
        <v>Not available</v>
      </c>
      <c r="J16" s="223" t="s">
        <v>1137</v>
      </c>
      <c r="K16" s="223" t="s">
        <v>1524</v>
      </c>
      <c r="AE16" s="62"/>
    </row>
    <row r="17" spans="1:31" s="33" customFormat="1" x14ac:dyDescent="0.25">
      <c r="A17" s="149">
        <v>7</v>
      </c>
      <c r="B17" s="33" t="s">
        <v>1031</v>
      </c>
      <c r="C17" s="175"/>
      <c r="D17" s="209" t="str" cm="1">
        <f t="array" ref="D17">IF(ISNUMBER(MATCH(A17,{8,15,19,23,28},0)), _xlfn.IFS(C17="","",C17=1,5,C17=2,4,C17=3,3,C17=4,2,C17=5,1),IF(C17="","",C17))</f>
        <v/>
      </c>
      <c r="F17" s="224" t="s">
        <v>1003</v>
      </c>
      <c r="G17" s="280"/>
      <c r="H17" s="226"/>
      <c r="I17" s="227"/>
      <c r="J17" s="275"/>
      <c r="K17" s="229" t="s">
        <v>1598</v>
      </c>
      <c r="AE17" s="62"/>
    </row>
    <row r="18" spans="1:31" s="33" customFormat="1" x14ac:dyDescent="0.25">
      <c r="A18" s="155">
        <v>8</v>
      </c>
      <c r="B18" s="156" t="s">
        <v>1032</v>
      </c>
      <c r="C18" s="176"/>
      <c r="D18" s="209" t="str" cm="1">
        <f t="array" ref="D18">IF(ISNUMBER(MATCH(A18,{8,15,19,23,28},0)), _xlfn.IFS(C18="","",C18=1,5,C18=2,4,C18=3,3,C18=4,2,C18=5,1),IF(C18="","",C18))</f>
        <v/>
      </c>
      <c r="F18" s="162" t="s">
        <v>279</v>
      </c>
      <c r="G18" s="281" t="str" cm="1">
        <f t="array" ref="G18">IF(SUM(G$11:G$16)&gt;0,SUM(SUMIF(F$11:F$16,{"Social interactions","Communication","Social camouflage","Cognitive rigidity","Repetitive behaviours","Sensory sensitivity"},G$11:G$16)),"")</f>
        <v/>
      </c>
      <c r="H18" s="163" t="s">
        <v>740</v>
      </c>
      <c r="I18" s="137" t="str" cm="1">
        <f t="array" ref="I18">_xlfn.IFS(OR(G18="", G18&lt;=41),"",AND(42&lt;=G18, G18&lt;=133),"Not elevated ",G18&gt;=134,"Elevated autistic traits")</f>
        <v/>
      </c>
      <c r="J18" s="231" t="s">
        <v>1120</v>
      </c>
      <c r="K18" s="231" t="s">
        <v>1616</v>
      </c>
      <c r="AE18" s="62"/>
    </row>
    <row r="19" spans="1:31" s="33" customFormat="1" x14ac:dyDescent="0.25">
      <c r="A19" s="149">
        <v>9</v>
      </c>
      <c r="B19" s="33" t="s">
        <v>1033</v>
      </c>
      <c r="C19" s="175"/>
      <c r="D19" s="209" t="str" cm="1">
        <f t="array" ref="D19">IF(ISNUMBER(MATCH(A19,{8,15,19,23,28},0)), _xlfn.IFS(C19="","",C19=1,5,C19=2,4,C19=3,3,C19=4,2,C19=5,1),IF(C19="","",C19))</f>
        <v/>
      </c>
      <c r="F19" s="28"/>
      <c r="G19" s="28"/>
      <c r="H19" s="28"/>
      <c r="I19" s="232"/>
      <c r="J19" s="28"/>
      <c r="K19" s="28"/>
      <c r="AE19" s="62"/>
    </row>
    <row r="20" spans="1:31" s="33" customFormat="1" x14ac:dyDescent="0.25">
      <c r="A20" s="155">
        <v>10</v>
      </c>
      <c r="B20" s="156" t="s">
        <v>1034</v>
      </c>
      <c r="C20" s="176"/>
      <c r="D20" s="209" t="str" cm="1">
        <f t="array" ref="D20">IF(ISNUMBER(MATCH(A20,{8,15,19,23,28},0)), _xlfn.IFS(C20="","",C20=1,5,C20=2,4,C20=3,3,C20=4,2,C20=5,1),IF(C20="","",C20))</f>
        <v/>
      </c>
      <c r="F20" s="28"/>
      <c r="G20" s="28"/>
      <c r="H20" s="28"/>
      <c r="I20" s="28"/>
      <c r="J20" s="28"/>
      <c r="K20" s="28"/>
      <c r="AE20" s="62"/>
    </row>
    <row r="21" spans="1:31" s="33" customFormat="1" ht="21" x14ac:dyDescent="0.35">
      <c r="A21" s="149">
        <v>11</v>
      </c>
      <c r="B21" s="33" t="s">
        <v>1035</v>
      </c>
      <c r="C21" s="175"/>
      <c r="D21" s="209" t="str" cm="1">
        <f t="array" ref="D21">IF(ISNUMBER(MATCH(A21,{8,15,19,23,28},0)), _xlfn.IFS(C21="","",C21=1,5,C21=2,4,C21=3,3,C21=4,2,C21=5,1),IF(C21="","",C21))</f>
        <v/>
      </c>
      <c r="F21" s="166" t="s">
        <v>237</v>
      </c>
      <c r="G21" s="132"/>
      <c r="H21" s="132"/>
      <c r="I21" s="132"/>
      <c r="J21" s="132"/>
      <c r="K21" s="132"/>
      <c r="AE21" s="62"/>
    </row>
    <row r="22" spans="1:31" s="33" customFormat="1" x14ac:dyDescent="0.25">
      <c r="A22" s="155">
        <v>12</v>
      </c>
      <c r="B22" s="156" t="s">
        <v>1036</v>
      </c>
      <c r="C22" s="176"/>
      <c r="D22" s="209" t="str" cm="1">
        <f t="array" ref="D22">IF(ISNUMBER(MATCH(A22,{8,15,19,23,28},0)), _xlfn.IFS(C22="","",C22=1,5,C22=2,4,C22=3,3,C22=4,2,C22=5,1),IF(C22="","",C22))</f>
        <v/>
      </c>
      <c r="F22" s="184" t="s">
        <v>1114</v>
      </c>
      <c r="G22" s="266"/>
      <c r="H22" s="266"/>
      <c r="I22" s="28"/>
      <c r="J22" s="28"/>
      <c r="K22" s="28"/>
      <c r="AE22" s="62"/>
    </row>
    <row r="23" spans="1:31" s="33" customFormat="1" x14ac:dyDescent="0.25">
      <c r="A23" s="149">
        <v>13</v>
      </c>
      <c r="B23" s="33" t="s">
        <v>1037</v>
      </c>
      <c r="C23" s="175"/>
      <c r="D23" s="209" t="str" cm="1">
        <f t="array" ref="D23">IF(ISNUMBER(MATCH(A23,{8,15,19,23,28},0)), _xlfn.IFS(C23="","",C23=1,5,C23=2,4,C23=3,3,C23=4,2,C23=5,1),IF(C23="","",C23))</f>
        <v/>
      </c>
      <c r="F23" s="213"/>
      <c r="G23" s="266"/>
      <c r="H23" s="266"/>
      <c r="I23" s="28"/>
      <c r="J23" s="28"/>
      <c r="K23" s="28"/>
      <c r="AE23" s="62"/>
    </row>
    <row r="24" spans="1:31" s="33" customFormat="1" x14ac:dyDescent="0.25">
      <c r="A24" s="155">
        <v>14</v>
      </c>
      <c r="B24" s="156" t="s">
        <v>1038</v>
      </c>
      <c r="C24" s="176"/>
      <c r="D24" s="209" t="str" cm="1">
        <f t="array" ref="D24">IF(ISNUMBER(MATCH(A24,{8,15,19,23,28},0)), _xlfn.IFS(C24="","",C24=1,5,C24=2,4,C24=3,3,C24=4,2,C24=5,1),IF(C24="","",C24))</f>
        <v/>
      </c>
      <c r="F24" s="188" t="s">
        <v>1161</v>
      </c>
      <c r="G24" s="266"/>
      <c r="H24" s="266"/>
      <c r="I24" s="28"/>
      <c r="J24" s="28"/>
      <c r="K24" s="28"/>
      <c r="AE24" s="62"/>
    </row>
    <row r="25" spans="1:31" s="33" customFormat="1" x14ac:dyDescent="0.25">
      <c r="A25" s="149">
        <v>15</v>
      </c>
      <c r="B25" s="33" t="s">
        <v>1039</v>
      </c>
      <c r="C25" s="175"/>
      <c r="D25" s="209" t="str" cm="1">
        <f t="array" ref="D25">IF(ISNUMBER(MATCH(A25,{8,15,19,23,28},0)), _xlfn.IFS(C25="","",C25=1,5,C25=2,4,C25=3,3,C25=4,2,C25=5,1),IF(C25="","",C25))</f>
        <v/>
      </c>
      <c r="F25" s="185" t="s">
        <v>1105</v>
      </c>
      <c r="G25" s="266"/>
      <c r="H25" s="266"/>
      <c r="I25" s="28"/>
      <c r="J25" s="28"/>
      <c r="K25" s="28"/>
      <c r="AE25" s="62"/>
    </row>
    <row r="26" spans="1:31" s="33" customFormat="1" x14ac:dyDescent="0.25">
      <c r="A26" s="155">
        <v>16</v>
      </c>
      <c r="B26" s="156" t="s">
        <v>1040</v>
      </c>
      <c r="C26" s="176"/>
      <c r="D26" s="209" t="str" cm="1">
        <f t="array" ref="D26">IF(ISNUMBER(MATCH(A26,{8,15,19,23,28},0)), _xlfn.IFS(C26="","",C26=1,5,C26=2,4,C26=3,3,C26=4,2,C26=5,1),IF(C26="","",C26))</f>
        <v/>
      </c>
      <c r="F26" s="185" t="s">
        <v>1124</v>
      </c>
      <c r="G26" s="266"/>
      <c r="H26" s="266"/>
      <c r="I26" s="28"/>
      <c r="J26" s="28"/>
      <c r="K26" s="28"/>
      <c r="AE26" s="62"/>
    </row>
    <row r="27" spans="1:31" x14ac:dyDescent="0.3">
      <c r="A27" s="149">
        <v>17</v>
      </c>
      <c r="B27" s="33" t="s">
        <v>1041</v>
      </c>
      <c r="C27" s="175"/>
      <c r="D27" s="209" t="str" cm="1">
        <f t="array" ref="D27">IF(ISNUMBER(MATCH(A27,{8,15,19,23,28},0)), _xlfn.IFS(C27="","",C27=1,5,C27=2,4,C27=3,3,C27=4,2,C27=5,1),IF(C27="","",C27))</f>
        <v/>
      </c>
      <c r="E27" s="33"/>
      <c r="F27" s="102"/>
      <c r="G27" s="266"/>
      <c r="H27" s="266"/>
    </row>
    <row r="28" spans="1:31" x14ac:dyDescent="0.3">
      <c r="A28" s="155">
        <v>18</v>
      </c>
      <c r="B28" s="156" t="s">
        <v>1042</v>
      </c>
      <c r="C28" s="176"/>
      <c r="D28" s="209" t="str" cm="1">
        <f t="array" ref="D28">IF(ISNUMBER(MATCH(A28,{8,15,19,23,28},0)), _xlfn.IFS(C28="","",C28=1,5,C28=2,4,C28=3,3,C28=4,2,C28=5,1),IF(C28="","",C28))</f>
        <v/>
      </c>
      <c r="E28" s="33"/>
      <c r="F28" s="33" t="s">
        <v>1574</v>
      </c>
      <c r="G28" s="266"/>
    </row>
    <row r="29" spans="1:31" x14ac:dyDescent="0.3">
      <c r="A29" s="149">
        <v>19</v>
      </c>
      <c r="B29" s="33" t="s">
        <v>1068</v>
      </c>
      <c r="C29" s="175"/>
      <c r="D29" s="209" t="str" cm="1">
        <f t="array" ref="D29">IF(ISNUMBER(MATCH(A29,{8,15,19,23,28},0)), _xlfn.IFS(C29="","",C29=1,5,C29=2,4,C29=3,3,C29=4,2,C29=5,1),IF(C29="","",C29))</f>
        <v/>
      </c>
      <c r="E29" s="33"/>
      <c r="F29" s="185" t="s">
        <v>1573</v>
      </c>
      <c r="G29" s="266" t="s">
        <v>1576</v>
      </c>
    </row>
    <row r="30" spans="1:31" x14ac:dyDescent="0.3">
      <c r="A30" s="155">
        <v>20</v>
      </c>
      <c r="B30" s="156" t="s">
        <v>1043</v>
      </c>
      <c r="C30" s="176"/>
      <c r="D30" s="209" t="str" cm="1">
        <f t="array" ref="D30">IF(ISNUMBER(MATCH(A30,{8,15,19,23,28},0)), _xlfn.IFS(C30="","",C30=1,5,C30=2,4,C30=3,3,C30=4,2,C30=5,1),IF(C30="","",C30))</f>
        <v/>
      </c>
      <c r="E30" s="33"/>
    </row>
    <row r="31" spans="1:31" x14ac:dyDescent="0.3">
      <c r="A31" s="149">
        <v>21</v>
      </c>
      <c r="B31" s="33" t="s">
        <v>1060</v>
      </c>
      <c r="C31" s="175"/>
      <c r="D31" s="209" t="str" cm="1">
        <f t="array" ref="D31">IF(ISNUMBER(MATCH(A31,{8,15,19,23,28},0)), _xlfn.IFS(C31="","",C31=1,5,C31=2,4,C31=3,3,C31=4,2,C31=5,1),IF(C31="","",C31))</f>
        <v/>
      </c>
      <c r="E31" s="33"/>
    </row>
    <row r="32" spans="1:31" x14ac:dyDescent="0.3">
      <c r="A32" s="155">
        <v>22</v>
      </c>
      <c r="B32" s="156" t="s">
        <v>1044</v>
      </c>
      <c r="C32" s="176"/>
      <c r="D32" s="209" t="str" cm="1">
        <f t="array" ref="D32">IF(ISNUMBER(MATCH(A32,{8,15,19,23,28},0)), _xlfn.IFS(C32="","",C32=1,5,C32=2,4,C32=3,3,C32=4,2,C32=5,1),IF(C32="","",C32))</f>
        <v/>
      </c>
      <c r="E32" s="33"/>
    </row>
    <row r="33" spans="1:5" x14ac:dyDescent="0.3">
      <c r="A33" s="149">
        <v>23</v>
      </c>
      <c r="B33" s="33" t="s">
        <v>1045</v>
      </c>
      <c r="C33" s="175"/>
      <c r="D33" s="209" t="str" cm="1">
        <f t="array" ref="D33">IF(ISNUMBER(MATCH(A33,{8,15,19,23,28},0)), _xlfn.IFS(C33="","",C33=1,5,C33=2,4,C33=3,3,C33=4,2,C33=5,1),IF(C33="","",C33))</f>
        <v/>
      </c>
      <c r="E33" s="33"/>
    </row>
    <row r="34" spans="1:5" x14ac:dyDescent="0.3">
      <c r="A34" s="155">
        <v>24</v>
      </c>
      <c r="B34" s="156" t="s">
        <v>1046</v>
      </c>
      <c r="C34" s="176"/>
      <c r="D34" s="209" t="str" cm="1">
        <f t="array" ref="D34">IF(ISNUMBER(MATCH(A34,{8,15,19,23,28},0)), _xlfn.IFS(C34="","",C34=1,5,C34=2,4,C34=3,3,C34=4,2,C34=5,1),IF(C34="","",C34))</f>
        <v/>
      </c>
      <c r="E34" s="33"/>
    </row>
    <row r="35" spans="1:5" x14ac:dyDescent="0.3">
      <c r="A35" s="149">
        <v>25</v>
      </c>
      <c r="B35" s="33" t="s">
        <v>1047</v>
      </c>
      <c r="C35" s="175"/>
      <c r="D35" s="209" t="str" cm="1">
        <f t="array" ref="D35">IF(ISNUMBER(MATCH(A35,{8,15,19,23,28},0)), _xlfn.IFS(C35="","",C35=1,5,C35=2,4,C35=3,3,C35=4,2,C35=5,1),IF(C35="","",C35))</f>
        <v/>
      </c>
      <c r="E35" s="33"/>
    </row>
    <row r="36" spans="1:5" x14ac:dyDescent="0.3">
      <c r="A36" s="155">
        <v>26</v>
      </c>
      <c r="B36" s="156" t="s">
        <v>1048</v>
      </c>
      <c r="C36" s="176"/>
      <c r="D36" s="209" t="str" cm="1">
        <f t="array" ref="D36">IF(ISNUMBER(MATCH(A36,{8,15,19,23,28},0)), _xlfn.IFS(C36="","",C36=1,5,C36=2,4,C36=3,3,C36=4,2,C36=5,1),IF(C36="","",C36))</f>
        <v/>
      </c>
      <c r="E36" s="33"/>
    </row>
    <row r="37" spans="1:5" x14ac:dyDescent="0.3">
      <c r="A37" s="149">
        <v>27</v>
      </c>
      <c r="B37" s="33" t="s">
        <v>1061</v>
      </c>
      <c r="C37" s="175"/>
      <c r="D37" s="209" t="str" cm="1">
        <f t="array" ref="D37">IF(ISNUMBER(MATCH(A37,{8,15,19,23,28},0)), _xlfn.IFS(C37="","",C37=1,5,C37=2,4,C37=3,3,C37=4,2,C37=5,1),IF(C37="","",C37))</f>
        <v/>
      </c>
      <c r="E37" s="33"/>
    </row>
    <row r="38" spans="1:5" x14ac:dyDescent="0.3">
      <c r="A38" s="155">
        <v>28</v>
      </c>
      <c r="B38" s="156" t="s">
        <v>1049</v>
      </c>
      <c r="C38" s="176"/>
      <c r="D38" s="209" t="str" cm="1">
        <f t="array" ref="D38">IF(ISNUMBER(MATCH(A38,{8,15,19,23,28},0)), _xlfn.IFS(C38="","",C38=1,5,C38=2,4,C38=3,3,C38=4,2,C38=5,1),IF(C38="","",C38))</f>
        <v/>
      </c>
      <c r="E38" s="33"/>
    </row>
    <row r="39" spans="1:5" x14ac:dyDescent="0.3">
      <c r="A39" s="149">
        <v>29</v>
      </c>
      <c r="B39" s="33" t="s">
        <v>1050</v>
      </c>
      <c r="C39" s="175"/>
      <c r="D39" s="209" t="str" cm="1">
        <f t="array" ref="D39">IF(ISNUMBER(MATCH(A39,{8,15,19,23,28},0)), _xlfn.IFS(C39="","",C39=1,5,C39=2,4,C39=3,3,C39=4,2,C39=5,1),IF(C39="","",C39))</f>
        <v/>
      </c>
      <c r="E39" s="33"/>
    </row>
    <row r="40" spans="1:5" x14ac:dyDescent="0.3">
      <c r="A40" s="155">
        <v>30</v>
      </c>
      <c r="B40" s="156" t="s">
        <v>1051</v>
      </c>
      <c r="C40" s="176"/>
      <c r="D40" s="209" t="str" cm="1">
        <f t="array" ref="D40">IF(ISNUMBER(MATCH(A40,{8,15,19,23,28},0)), _xlfn.IFS(C40="","",C40=1,5,C40=2,4,C40=3,3,C40=4,2,C40=5,1),IF(C40="","",C40))</f>
        <v/>
      </c>
      <c r="E40" s="33"/>
    </row>
    <row r="41" spans="1:5" x14ac:dyDescent="0.3">
      <c r="A41" s="149">
        <v>31</v>
      </c>
      <c r="B41" s="33" t="s">
        <v>1052</v>
      </c>
      <c r="C41" s="175"/>
      <c r="D41" s="209" t="str" cm="1">
        <f t="array" ref="D41">IF(ISNUMBER(MATCH(A41,{8,15,19,23,28},0)), _xlfn.IFS(C41="","",C41=1,5,C41=2,4,C41=3,3,C41=4,2,C41=5,1),IF(C41="","",C41))</f>
        <v/>
      </c>
      <c r="E41" s="33"/>
    </row>
    <row r="42" spans="1:5" x14ac:dyDescent="0.3">
      <c r="A42" s="155">
        <v>32</v>
      </c>
      <c r="B42" s="156" t="s">
        <v>1062</v>
      </c>
      <c r="C42" s="176"/>
      <c r="D42" s="209" t="str" cm="1">
        <f t="array" ref="D42">IF(ISNUMBER(MATCH(A42,{8,15,19,23,28},0)), _xlfn.IFS(C42="","",C42=1,5,C42=2,4,C42=3,3,C42=4,2,C42=5,1),IF(C42="","",C42))</f>
        <v/>
      </c>
      <c r="E42" s="33"/>
    </row>
    <row r="43" spans="1:5" x14ac:dyDescent="0.3">
      <c r="A43" s="149">
        <v>33</v>
      </c>
      <c r="B43" s="33" t="s">
        <v>1053</v>
      </c>
      <c r="C43" s="175"/>
      <c r="D43" s="209" t="str" cm="1">
        <f t="array" ref="D43">IF(ISNUMBER(MATCH(A43,{8,15,19,23,28},0)), _xlfn.IFS(C43="","",C43=1,5,C43=2,4,C43=3,3,C43=4,2,C43=5,1),IF(C43="","",C43))</f>
        <v/>
      </c>
      <c r="E43" s="33"/>
    </row>
    <row r="44" spans="1:5" x14ac:dyDescent="0.3">
      <c r="A44" s="155">
        <v>34</v>
      </c>
      <c r="B44" s="156" t="s">
        <v>1054</v>
      </c>
      <c r="C44" s="176"/>
      <c r="D44" s="209" t="str" cm="1">
        <f t="array" ref="D44">IF(ISNUMBER(MATCH(A44,{8,15,19,23,28},0)), _xlfn.IFS(C44="","",C44=1,5,C44=2,4,C44=3,3,C44=4,2,C44=5,1),IF(C44="","",C44))</f>
        <v/>
      </c>
      <c r="E44" s="33"/>
    </row>
    <row r="45" spans="1:5" x14ac:dyDescent="0.3">
      <c r="A45" s="149">
        <v>35</v>
      </c>
      <c r="B45" s="33" t="s">
        <v>1055</v>
      </c>
      <c r="C45" s="175"/>
      <c r="D45" s="209" t="str" cm="1">
        <f t="array" ref="D45">IF(ISNUMBER(MATCH(A45,{8,15,19,23,28},0)), _xlfn.IFS(C45="","",C45=1,5,C45=2,4,C45=3,3,C45=4,2,C45=5,1),IF(C45="","",C45))</f>
        <v/>
      </c>
      <c r="E45" s="33"/>
    </row>
    <row r="46" spans="1:5" x14ac:dyDescent="0.3">
      <c r="A46" s="155">
        <v>36</v>
      </c>
      <c r="B46" s="156" t="s">
        <v>1056</v>
      </c>
      <c r="C46" s="176"/>
      <c r="D46" s="209" t="str" cm="1">
        <f t="array" ref="D46">IF(ISNUMBER(MATCH(A46,{8,15,19,23,28},0)), _xlfn.IFS(C46="","",C46=1,5,C46=2,4,C46=3,3,C46=4,2,C46=5,1),IF(C46="","",C46))</f>
        <v/>
      </c>
      <c r="E46" s="33"/>
    </row>
    <row r="47" spans="1:5" x14ac:dyDescent="0.3">
      <c r="A47" s="149">
        <v>37</v>
      </c>
      <c r="B47" s="33" t="s">
        <v>1057</v>
      </c>
      <c r="C47" s="175"/>
      <c r="D47" s="209" t="str" cm="1">
        <f t="array" ref="D47">IF(ISNUMBER(MATCH(A47,{8,15,19,23,28},0)), _xlfn.IFS(C47="","",C47=1,5,C47=2,4,C47=3,3,C47=4,2,C47=5,1),IF(C47="","",C47))</f>
        <v/>
      </c>
      <c r="E47" s="33"/>
    </row>
    <row r="48" spans="1:5" x14ac:dyDescent="0.3">
      <c r="A48" s="155">
        <v>38</v>
      </c>
      <c r="B48" s="156" t="s">
        <v>1058</v>
      </c>
      <c r="C48" s="176"/>
      <c r="D48" s="209" t="str" cm="1">
        <f t="array" ref="D48">IF(ISNUMBER(MATCH(A48,{8,15,19,23,28},0)), _xlfn.IFS(C48="","",C48=1,5,C48=2,4,C48=3,3,C48=4,2,C48=5,1),IF(C48="","",C48))</f>
        <v/>
      </c>
      <c r="E48" s="33"/>
    </row>
    <row r="49" spans="1:5" x14ac:dyDescent="0.3">
      <c r="A49" s="149">
        <v>39</v>
      </c>
      <c r="B49" s="33" t="s">
        <v>1059</v>
      </c>
      <c r="C49" s="175"/>
      <c r="D49" s="209" t="str" cm="1">
        <f t="array" ref="D49">IF(ISNUMBER(MATCH(A49,{8,15,19,23,28},0)), _xlfn.IFS(C49="","",C49=1,5,C49=2,4,C49=3,3,C49=4,2,C49=5,1),IF(C49="","",C49))</f>
        <v/>
      </c>
      <c r="E49" s="33"/>
    </row>
    <row r="50" spans="1:5" x14ac:dyDescent="0.3">
      <c r="A50" s="155">
        <v>40</v>
      </c>
      <c r="B50" s="156" t="s">
        <v>1063</v>
      </c>
      <c r="C50" s="176"/>
      <c r="D50" s="209" t="str" cm="1">
        <f t="array" ref="D50">IF(ISNUMBER(MATCH(A50,{8,15,19,23,28},0)), _xlfn.IFS(C50="","",C50=1,5,C50=2,4,C50=3,3,C50=4,2,C50=5,1),IF(C50="","",C50))</f>
        <v/>
      </c>
      <c r="E50" s="33"/>
    </row>
    <row r="51" spans="1:5" x14ac:dyDescent="0.3">
      <c r="A51" s="149">
        <v>41</v>
      </c>
      <c r="B51" s="33" t="s">
        <v>1064</v>
      </c>
      <c r="C51" s="175"/>
      <c r="D51" s="209" t="str" cm="1">
        <f t="array" ref="D51">IF(ISNUMBER(MATCH(A51,{8,15,19,23,28},0)), _xlfn.IFS(C51="","",C51=1,5,C51=2,4,C51=3,3,C51=4,2,C51=5,1),IF(C51="","",C51))</f>
        <v/>
      </c>
      <c r="E51" s="33"/>
    </row>
    <row r="52" spans="1:5" ht="20.25" thickBot="1" x14ac:dyDescent="0.35">
      <c r="A52" s="173">
        <v>42</v>
      </c>
      <c r="B52" s="174" t="s">
        <v>1065</v>
      </c>
      <c r="C52" s="177"/>
      <c r="D52" s="209" t="str" cm="1">
        <f t="array" ref="D52">IF(ISNUMBER(MATCH(A52,{8,15,19,23,28},0)), _xlfn.IFS(C52="","",C52=1,5,C52=2,4,C52=3,3,C52=4,2,C52=5,1),IF(C52="","",C52))</f>
        <v/>
      </c>
      <c r="E52" s="33"/>
    </row>
    <row r="53" spans="1:5" x14ac:dyDescent="0.3">
      <c r="E53" s="33"/>
    </row>
    <row r="54" spans="1:5" x14ac:dyDescent="0.3">
      <c r="E54" s="33"/>
    </row>
    <row r="55" spans="1:5" x14ac:dyDescent="0.3">
      <c r="A55" s="131"/>
      <c r="B55" s="170" t="s">
        <v>797</v>
      </c>
      <c r="C55" s="131"/>
      <c r="E55" s="33"/>
    </row>
    <row r="56" spans="1:5" ht="48" x14ac:dyDescent="0.3">
      <c r="B56" s="240" t="s">
        <v>1170</v>
      </c>
      <c r="E56" s="33"/>
    </row>
    <row r="57" spans="1:5" x14ac:dyDescent="0.3">
      <c r="E57" s="33"/>
    </row>
    <row r="58" spans="1:5" x14ac:dyDescent="0.3">
      <c r="E58" s="33"/>
    </row>
    <row r="59" spans="1:5" x14ac:dyDescent="0.3">
      <c r="E59" s="33"/>
    </row>
    <row r="60" spans="1:5" x14ac:dyDescent="0.3">
      <c r="E60" s="33"/>
    </row>
    <row r="61" spans="1:5" x14ac:dyDescent="0.3">
      <c r="E61" s="33"/>
    </row>
    <row r="62" spans="1:5" x14ac:dyDescent="0.3">
      <c r="E62" s="33"/>
    </row>
    <row r="63" spans="1:5" x14ac:dyDescent="0.3">
      <c r="E63" s="33"/>
    </row>
    <row r="64" spans="1:5" x14ac:dyDescent="0.3">
      <c r="E64" s="33"/>
    </row>
    <row r="65" spans="5:5" x14ac:dyDescent="0.3">
      <c r="E65" s="33"/>
    </row>
    <row r="66" spans="5:5" x14ac:dyDescent="0.3">
      <c r="E66" s="33"/>
    </row>
    <row r="67" spans="5:5" x14ac:dyDescent="0.3">
      <c r="E67" s="33"/>
    </row>
    <row r="68" spans="5:5" x14ac:dyDescent="0.3">
      <c r="E68" s="33"/>
    </row>
    <row r="69" spans="5:5" x14ac:dyDescent="0.3">
      <c r="E69" s="33"/>
    </row>
    <row r="70" spans="5:5" x14ac:dyDescent="0.3">
      <c r="E70" s="33"/>
    </row>
    <row r="71" spans="5:5" x14ac:dyDescent="0.3">
      <c r="E71" s="33"/>
    </row>
    <row r="72" spans="5:5" x14ac:dyDescent="0.3">
      <c r="E72" s="33"/>
    </row>
    <row r="73" spans="5:5" x14ac:dyDescent="0.3">
      <c r="E73" s="33"/>
    </row>
    <row r="74" spans="5:5" x14ac:dyDescent="0.3">
      <c r="E74" s="33"/>
    </row>
    <row r="75" spans="5:5" x14ac:dyDescent="0.3">
      <c r="E75" s="33"/>
    </row>
    <row r="76" spans="5:5" x14ac:dyDescent="0.3">
      <c r="E76" s="33"/>
    </row>
    <row r="77" spans="5:5" x14ac:dyDescent="0.3">
      <c r="E77" s="33"/>
    </row>
    <row r="78" spans="5:5" x14ac:dyDescent="0.3">
      <c r="E78" s="33"/>
    </row>
    <row r="79" spans="5:5" x14ac:dyDescent="0.3">
      <c r="E79" s="33"/>
    </row>
    <row r="80" spans="5:5" x14ac:dyDescent="0.3">
      <c r="E80" s="33"/>
    </row>
    <row r="81" spans="5:5" x14ac:dyDescent="0.3">
      <c r="E81" s="33"/>
    </row>
    <row r="82" spans="5:5" x14ac:dyDescent="0.3">
      <c r="E82" s="33"/>
    </row>
    <row r="83" spans="5:5" x14ac:dyDescent="0.3">
      <c r="E83" s="33"/>
    </row>
    <row r="84" spans="5:5" x14ac:dyDescent="0.3">
      <c r="E84" s="33"/>
    </row>
    <row r="85" spans="5:5" x14ac:dyDescent="0.3">
      <c r="E85" s="33"/>
    </row>
    <row r="86" spans="5:5" x14ac:dyDescent="0.3">
      <c r="E86" s="33"/>
    </row>
    <row r="87" spans="5:5" x14ac:dyDescent="0.3">
      <c r="E87" s="33"/>
    </row>
    <row r="88" spans="5:5" x14ac:dyDescent="0.3">
      <c r="E88" s="33"/>
    </row>
    <row r="89" spans="5:5" x14ac:dyDescent="0.3">
      <c r="E89" s="33"/>
    </row>
    <row r="90" spans="5:5" x14ac:dyDescent="0.3">
      <c r="E90" s="33"/>
    </row>
    <row r="91" spans="5:5" x14ac:dyDescent="0.3">
      <c r="E91" s="33"/>
    </row>
    <row r="92" spans="5:5" x14ac:dyDescent="0.3">
      <c r="E92" s="33"/>
    </row>
    <row r="93" spans="5:5" x14ac:dyDescent="0.3">
      <c r="E93" s="33"/>
    </row>
    <row r="94" spans="5:5" x14ac:dyDescent="0.3">
      <c r="E94" s="33"/>
    </row>
    <row r="95" spans="5:5" x14ac:dyDescent="0.3">
      <c r="E95" s="33"/>
    </row>
    <row r="96" spans="5:5" x14ac:dyDescent="0.3">
      <c r="E96" s="33"/>
    </row>
    <row r="97" spans="5:5" x14ac:dyDescent="0.3">
      <c r="E97" s="33"/>
    </row>
    <row r="98" spans="5:5" x14ac:dyDescent="0.3">
      <c r="E98" s="33"/>
    </row>
    <row r="99" spans="5:5" x14ac:dyDescent="0.3">
      <c r="E99" s="33"/>
    </row>
    <row r="100" spans="5:5" x14ac:dyDescent="0.3">
      <c r="E100" s="33"/>
    </row>
    <row r="101" spans="5:5" x14ac:dyDescent="0.3">
      <c r="E101" s="33"/>
    </row>
    <row r="102" spans="5:5" x14ac:dyDescent="0.3">
      <c r="E102" s="33"/>
    </row>
    <row r="103" spans="5:5" x14ac:dyDescent="0.3">
      <c r="E103" s="33"/>
    </row>
    <row r="104" spans="5:5" x14ac:dyDescent="0.3">
      <c r="E104" s="33"/>
    </row>
    <row r="105" spans="5:5" x14ac:dyDescent="0.3">
      <c r="E105" s="33"/>
    </row>
    <row r="106" spans="5:5" x14ac:dyDescent="0.3">
      <c r="E106" s="33"/>
    </row>
    <row r="107" spans="5:5" x14ac:dyDescent="0.3">
      <c r="E107" s="33"/>
    </row>
    <row r="108" spans="5:5" x14ac:dyDescent="0.3">
      <c r="E108" s="33"/>
    </row>
    <row r="109" spans="5:5" x14ac:dyDescent="0.3">
      <c r="E109" s="33"/>
    </row>
    <row r="110" spans="5:5" x14ac:dyDescent="0.3">
      <c r="E110" s="33"/>
    </row>
    <row r="111" spans="5:5" x14ac:dyDescent="0.3">
      <c r="E111" s="33"/>
    </row>
    <row r="112" spans="5:5" x14ac:dyDescent="0.3">
      <c r="E112" s="33"/>
    </row>
    <row r="113" spans="5:5" x14ac:dyDescent="0.3">
      <c r="E113" s="33"/>
    </row>
    <row r="114" spans="5:5" x14ac:dyDescent="0.3">
      <c r="E114" s="33"/>
    </row>
    <row r="115" spans="5:5" x14ac:dyDescent="0.3">
      <c r="E115" s="33"/>
    </row>
    <row r="116" spans="5:5" x14ac:dyDescent="0.3">
      <c r="E116" s="33"/>
    </row>
    <row r="117" spans="5:5" x14ac:dyDescent="0.3">
      <c r="E117" s="33"/>
    </row>
    <row r="118" spans="5:5" x14ac:dyDescent="0.3">
      <c r="E118" s="33"/>
    </row>
    <row r="119" spans="5:5" x14ac:dyDescent="0.3">
      <c r="E119" s="33"/>
    </row>
    <row r="120" spans="5:5" x14ac:dyDescent="0.3">
      <c r="E120" s="33"/>
    </row>
    <row r="121" spans="5:5" x14ac:dyDescent="0.3">
      <c r="E121" s="33"/>
    </row>
    <row r="122" spans="5:5" x14ac:dyDescent="0.3">
      <c r="E122" s="33"/>
    </row>
    <row r="123" spans="5:5" x14ac:dyDescent="0.3">
      <c r="E123" s="33"/>
    </row>
    <row r="124" spans="5:5" x14ac:dyDescent="0.3">
      <c r="E124" s="33"/>
    </row>
    <row r="125" spans="5:5" x14ac:dyDescent="0.3">
      <c r="E125" s="33"/>
    </row>
    <row r="126" spans="5:5" x14ac:dyDescent="0.3">
      <c r="E126" s="33"/>
    </row>
    <row r="127" spans="5:5" x14ac:dyDescent="0.3">
      <c r="E127" s="33"/>
    </row>
    <row r="128" spans="5:5" x14ac:dyDescent="0.3">
      <c r="E128" s="33"/>
    </row>
    <row r="129" spans="5:5" x14ac:dyDescent="0.3">
      <c r="E129" s="33"/>
    </row>
    <row r="130" spans="5:5" x14ac:dyDescent="0.3">
      <c r="E130" s="33"/>
    </row>
    <row r="131" spans="5:5" x14ac:dyDescent="0.3">
      <c r="E131" s="33"/>
    </row>
    <row r="132" spans="5:5" x14ac:dyDescent="0.3">
      <c r="E132" s="33"/>
    </row>
    <row r="133" spans="5:5" x14ac:dyDescent="0.3">
      <c r="E133" s="33"/>
    </row>
    <row r="134" spans="5:5" x14ac:dyDescent="0.3">
      <c r="E134" s="33"/>
    </row>
    <row r="135" spans="5:5" x14ac:dyDescent="0.3">
      <c r="E135" s="33"/>
    </row>
    <row r="136" spans="5:5" x14ac:dyDescent="0.3">
      <c r="E136" s="33"/>
    </row>
    <row r="137" spans="5:5" x14ac:dyDescent="0.3">
      <c r="E137" s="33"/>
    </row>
    <row r="138" spans="5:5" x14ac:dyDescent="0.3">
      <c r="E138" s="33"/>
    </row>
    <row r="139" spans="5:5" x14ac:dyDescent="0.3">
      <c r="E139" s="33"/>
    </row>
    <row r="140" spans="5:5" x14ac:dyDescent="0.3">
      <c r="E140" s="33"/>
    </row>
    <row r="141" spans="5:5" x14ac:dyDescent="0.3">
      <c r="E141" s="33"/>
    </row>
    <row r="142" spans="5:5" x14ac:dyDescent="0.3">
      <c r="E142" s="33"/>
    </row>
    <row r="143" spans="5:5" x14ac:dyDescent="0.3">
      <c r="E143" s="33"/>
    </row>
    <row r="144" spans="5:5" x14ac:dyDescent="0.3">
      <c r="E144" s="33"/>
    </row>
    <row r="145" spans="5:5" x14ac:dyDescent="0.3">
      <c r="E145" s="33"/>
    </row>
    <row r="146" spans="5:5" x14ac:dyDescent="0.3">
      <c r="E146" s="33"/>
    </row>
    <row r="147" spans="5:5" x14ac:dyDescent="0.3">
      <c r="E147" s="33"/>
    </row>
    <row r="148" spans="5:5" x14ac:dyDescent="0.3">
      <c r="E148" s="33"/>
    </row>
    <row r="149" spans="5:5" x14ac:dyDescent="0.3">
      <c r="E149" s="33"/>
    </row>
    <row r="150" spans="5:5" x14ac:dyDescent="0.3">
      <c r="E150" s="33"/>
    </row>
    <row r="151" spans="5:5" x14ac:dyDescent="0.3">
      <c r="E151" s="33"/>
    </row>
    <row r="152" spans="5:5" x14ac:dyDescent="0.3">
      <c r="E152" s="33"/>
    </row>
    <row r="153" spans="5:5" x14ac:dyDescent="0.3">
      <c r="E153" s="33"/>
    </row>
    <row r="154" spans="5:5" x14ac:dyDescent="0.3">
      <c r="E154" s="33"/>
    </row>
    <row r="155" spans="5:5" x14ac:dyDescent="0.3">
      <c r="E155" s="33"/>
    </row>
    <row r="156" spans="5:5" x14ac:dyDescent="0.3">
      <c r="E156" s="33"/>
    </row>
    <row r="157" spans="5:5" x14ac:dyDescent="0.3">
      <c r="E157" s="33"/>
    </row>
    <row r="158" spans="5:5" x14ac:dyDescent="0.3">
      <c r="E158" s="33"/>
    </row>
    <row r="159" spans="5:5" x14ac:dyDescent="0.3">
      <c r="E159" s="33"/>
    </row>
    <row r="160" spans="5:5" x14ac:dyDescent="0.3">
      <c r="E160" s="33"/>
    </row>
    <row r="161" spans="5:5" x14ac:dyDescent="0.3">
      <c r="E161" s="33"/>
    </row>
    <row r="162" spans="5:5" x14ac:dyDescent="0.3">
      <c r="E162" s="33"/>
    </row>
    <row r="163" spans="5:5" x14ac:dyDescent="0.3">
      <c r="E163" s="33"/>
    </row>
    <row r="164" spans="5:5" x14ac:dyDescent="0.3">
      <c r="E164" s="33"/>
    </row>
    <row r="165" spans="5:5" x14ac:dyDescent="0.3">
      <c r="E165" s="33"/>
    </row>
    <row r="166" spans="5:5" x14ac:dyDescent="0.3">
      <c r="E166" s="33"/>
    </row>
    <row r="167" spans="5:5" x14ac:dyDescent="0.3">
      <c r="E167" s="33"/>
    </row>
    <row r="168" spans="5:5" x14ac:dyDescent="0.3">
      <c r="E168" s="33"/>
    </row>
    <row r="169" spans="5:5" x14ac:dyDescent="0.3">
      <c r="E169" s="33"/>
    </row>
    <row r="170" spans="5:5" x14ac:dyDescent="0.3">
      <c r="E170" s="33"/>
    </row>
    <row r="171" spans="5:5" x14ac:dyDescent="0.3">
      <c r="E171" s="33"/>
    </row>
    <row r="172" spans="5:5" x14ac:dyDescent="0.3">
      <c r="E172" s="33"/>
    </row>
    <row r="173" spans="5:5" x14ac:dyDescent="0.3">
      <c r="E173" s="33"/>
    </row>
    <row r="174" spans="5:5" x14ac:dyDescent="0.3">
      <c r="E174" s="33"/>
    </row>
    <row r="175" spans="5:5" x14ac:dyDescent="0.3">
      <c r="E175" s="33"/>
    </row>
    <row r="176" spans="5:5" x14ac:dyDescent="0.3">
      <c r="E176" s="33"/>
    </row>
    <row r="177" spans="5:5" x14ac:dyDescent="0.3">
      <c r="E177" s="33"/>
    </row>
    <row r="178" spans="5:5" x14ac:dyDescent="0.3">
      <c r="E178" s="33"/>
    </row>
    <row r="179" spans="5:5" x14ac:dyDescent="0.3">
      <c r="E179" s="33"/>
    </row>
    <row r="180" spans="5:5" x14ac:dyDescent="0.3">
      <c r="E180" s="33"/>
    </row>
    <row r="181" spans="5:5" x14ac:dyDescent="0.3">
      <c r="E181" s="33"/>
    </row>
    <row r="182" spans="5:5" x14ac:dyDescent="0.3">
      <c r="E182" s="33"/>
    </row>
    <row r="183" spans="5:5" x14ac:dyDescent="0.3">
      <c r="E183" s="33"/>
    </row>
    <row r="184" spans="5:5" x14ac:dyDescent="0.3">
      <c r="E184" s="33"/>
    </row>
    <row r="185" spans="5:5" x14ac:dyDescent="0.3">
      <c r="E185" s="33"/>
    </row>
    <row r="186" spans="5:5" x14ac:dyDescent="0.3">
      <c r="E186" s="33"/>
    </row>
    <row r="187" spans="5:5" x14ac:dyDescent="0.3">
      <c r="E187" s="33"/>
    </row>
    <row r="188" spans="5:5" x14ac:dyDescent="0.3">
      <c r="E188" s="33"/>
    </row>
    <row r="189" spans="5:5" x14ac:dyDescent="0.3">
      <c r="E189" s="33"/>
    </row>
    <row r="190" spans="5:5" x14ac:dyDescent="0.3">
      <c r="E190" s="33"/>
    </row>
    <row r="191" spans="5:5" x14ac:dyDescent="0.3">
      <c r="E191" s="33"/>
    </row>
    <row r="192" spans="5:5" x14ac:dyDescent="0.3">
      <c r="E192" s="33"/>
    </row>
    <row r="193" spans="5:5" x14ac:dyDescent="0.3">
      <c r="E193" s="33"/>
    </row>
    <row r="194" spans="5:5" x14ac:dyDescent="0.3">
      <c r="E194" s="33"/>
    </row>
    <row r="195" spans="5:5" x14ac:dyDescent="0.3">
      <c r="E195" s="33"/>
    </row>
    <row r="196" spans="5:5" x14ac:dyDescent="0.3">
      <c r="E196" s="33"/>
    </row>
    <row r="197" spans="5:5" x14ac:dyDescent="0.3">
      <c r="E197" s="33"/>
    </row>
    <row r="198" spans="5:5" x14ac:dyDescent="0.3">
      <c r="E198" s="33"/>
    </row>
    <row r="199" spans="5:5" x14ac:dyDescent="0.3">
      <c r="E199" s="33"/>
    </row>
    <row r="200" spans="5:5" x14ac:dyDescent="0.3">
      <c r="E200" s="33"/>
    </row>
    <row r="201" spans="5:5" x14ac:dyDescent="0.3">
      <c r="E201" s="33"/>
    </row>
    <row r="202" spans="5:5" x14ac:dyDescent="0.3">
      <c r="E202" s="33"/>
    </row>
    <row r="203" spans="5:5" x14ac:dyDescent="0.3">
      <c r="E203" s="33"/>
    </row>
    <row r="204" spans="5:5" x14ac:dyDescent="0.3">
      <c r="E204" s="33"/>
    </row>
    <row r="205" spans="5:5" x14ac:dyDescent="0.3">
      <c r="E205" s="33"/>
    </row>
    <row r="206" spans="5:5" x14ac:dyDescent="0.3">
      <c r="E206" s="33"/>
    </row>
    <row r="207" spans="5:5" x14ac:dyDescent="0.3">
      <c r="E207" s="33"/>
    </row>
    <row r="208" spans="5:5" x14ac:dyDescent="0.3">
      <c r="E208" s="33"/>
    </row>
    <row r="209" spans="5:5" x14ac:dyDescent="0.3">
      <c r="E209" s="33"/>
    </row>
    <row r="210" spans="5:5" x14ac:dyDescent="0.3">
      <c r="E210" s="33"/>
    </row>
    <row r="211" spans="5:5" x14ac:dyDescent="0.3">
      <c r="E211" s="33"/>
    </row>
    <row r="212" spans="5:5" x14ac:dyDescent="0.3">
      <c r="E212" s="33"/>
    </row>
    <row r="213" spans="5:5" x14ac:dyDescent="0.3">
      <c r="E213" s="33"/>
    </row>
    <row r="214" spans="5:5" x14ac:dyDescent="0.3">
      <c r="E214" s="33"/>
    </row>
    <row r="215" spans="5:5" x14ac:dyDescent="0.3">
      <c r="E215" s="33"/>
    </row>
    <row r="216" spans="5:5" x14ac:dyDescent="0.3">
      <c r="E216" s="33"/>
    </row>
    <row r="217" spans="5:5" x14ac:dyDescent="0.3">
      <c r="E217" s="33"/>
    </row>
    <row r="218" spans="5:5" x14ac:dyDescent="0.3">
      <c r="E218" s="33"/>
    </row>
    <row r="219" spans="5:5" x14ac:dyDescent="0.3">
      <c r="E219" s="33"/>
    </row>
    <row r="220" spans="5:5" x14ac:dyDescent="0.3">
      <c r="E220" s="33"/>
    </row>
    <row r="221" spans="5:5" x14ac:dyDescent="0.3">
      <c r="E221" s="33"/>
    </row>
    <row r="222" spans="5:5" x14ac:dyDescent="0.3">
      <c r="E222" s="33"/>
    </row>
    <row r="223" spans="5:5" x14ac:dyDescent="0.3">
      <c r="E223" s="33"/>
    </row>
    <row r="224" spans="5:5" x14ac:dyDescent="0.3">
      <c r="E224" s="33"/>
    </row>
    <row r="225" spans="5:5" x14ac:dyDescent="0.3">
      <c r="E225" s="33"/>
    </row>
    <row r="226" spans="5:5" x14ac:dyDescent="0.3">
      <c r="E226" s="33"/>
    </row>
    <row r="227" spans="5:5" x14ac:dyDescent="0.3">
      <c r="E227" s="33"/>
    </row>
    <row r="228" spans="5:5" x14ac:dyDescent="0.3">
      <c r="E228" s="33"/>
    </row>
    <row r="229" spans="5:5" x14ac:dyDescent="0.3">
      <c r="E229" s="33"/>
    </row>
    <row r="230" spans="5:5" x14ac:dyDescent="0.3">
      <c r="E230" s="33"/>
    </row>
    <row r="231" spans="5:5" x14ac:dyDescent="0.3">
      <c r="E231" s="33"/>
    </row>
  </sheetData>
  <sheetProtection algorithmName="SHA-512" hashValue="wtemxoLdNG+Jml5hpLOINKePkm/J9/dxye2NLCBpFx+SF2eP5AQHX+fNYl2Bfq4UUKWNlTVBsr9P+HN67zXiIQ==" saltValue="eRCvCa5GEeNBOIDxvm+/QA==" spinCount="100000" sheet="1" objects="1" scenarios="1"/>
  <mergeCells count="2">
    <mergeCell ref="A6:C6"/>
    <mergeCell ref="A7:C7"/>
  </mergeCells>
  <dataValidations count="2">
    <dataValidation type="list" allowBlank="1" showInputMessage="1" showErrorMessage="1" sqref="E66:E231" xr:uid="{644DEBED-FA95-3A44-AA1A-67A66ED2E5C5}">
      <formula1>"0,1,2,3"</formula1>
    </dataValidation>
    <dataValidation type="list" allowBlank="1" showInputMessage="1" showErrorMessage="1" sqref="C11:C52" xr:uid="{B5BDAFCC-A1CD-AD44-B278-D84A9735B2A3}">
      <formula1>"1,2,3,4,5"</formula1>
    </dataValidation>
  </dataValidation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A5691-976F-A545-8FEE-F22E6BFAAF9E}">
  <sheetPr>
    <tabColor theme="8"/>
  </sheetPr>
  <dimension ref="A1:AE234"/>
  <sheetViews>
    <sheetView workbookViewId="0">
      <selection activeCell="C11" sqref="C11"/>
    </sheetView>
  </sheetViews>
  <sheetFormatPr defaultColWidth="10.875" defaultRowHeight="19.5" x14ac:dyDescent="0.3"/>
  <cols>
    <col min="1" max="1" width="8.375" style="28" customWidth="1"/>
    <col min="2" max="2" width="106" style="28" customWidth="1"/>
    <col min="3" max="3" width="12.5" style="28" customWidth="1"/>
    <col min="4" max="4" width="10.875" style="103"/>
    <col min="5" max="5" width="10.875" style="28"/>
    <col min="6" max="6" width="54.125" style="28" customWidth="1"/>
    <col min="7" max="9" width="12.5" style="28" customWidth="1"/>
    <col min="10" max="10" width="26.375" style="28" bestFit="1" customWidth="1"/>
    <col min="11" max="11" width="59.125" style="28" bestFit="1" customWidth="1"/>
    <col min="12" max="30" width="10.875" style="28"/>
    <col min="31" max="31" width="10.875" style="66"/>
    <col min="32" max="16384" width="10.875" style="28"/>
  </cols>
  <sheetData>
    <row r="1" spans="1:31" s="20" customFormat="1" x14ac:dyDescent="0.3">
      <c r="D1" s="267"/>
      <c r="AE1" s="58"/>
    </row>
    <row r="2" spans="1:31" s="20" customFormat="1" ht="45.75" x14ac:dyDescent="0.3">
      <c r="A2" s="59" t="s">
        <v>1106</v>
      </c>
      <c r="D2" s="267"/>
      <c r="AE2" s="58"/>
    </row>
    <row r="3" spans="1:31" s="23" customFormat="1" ht="31.5" x14ac:dyDescent="0.5">
      <c r="A3" s="172" t="s">
        <v>323</v>
      </c>
      <c r="D3" s="130"/>
      <c r="F3" s="130"/>
      <c r="G3" s="130"/>
      <c r="H3" s="130"/>
      <c r="I3" s="130"/>
      <c r="J3" s="130"/>
      <c r="AE3" s="61"/>
    </row>
    <row r="5" spans="1:31" x14ac:dyDescent="0.3">
      <c r="A5" s="131" t="s">
        <v>818</v>
      </c>
      <c r="B5" s="132"/>
      <c r="C5" s="132"/>
    </row>
    <row r="6" spans="1:31" s="133" customFormat="1" ht="51" customHeight="1" x14ac:dyDescent="0.25">
      <c r="A6" s="339" t="s">
        <v>412</v>
      </c>
      <c r="B6" s="340"/>
      <c r="C6" s="341"/>
      <c r="D6" s="268"/>
      <c r="AE6" s="134"/>
    </row>
    <row r="7" spans="1:31" s="133" customFormat="1" x14ac:dyDescent="0.25">
      <c r="A7" s="342" t="s">
        <v>640</v>
      </c>
      <c r="B7" s="343"/>
      <c r="C7" s="344"/>
      <c r="D7" s="268"/>
      <c r="AE7" s="134"/>
    </row>
    <row r="8" spans="1:31" ht="20.25" thickBot="1" x14ac:dyDescent="0.35"/>
    <row r="9" spans="1:31" x14ac:dyDescent="0.3">
      <c r="A9" s="138"/>
      <c r="B9" s="139"/>
      <c r="C9" s="140"/>
      <c r="D9" s="269"/>
      <c r="E9" s="216"/>
      <c r="F9" s="139" t="s">
        <v>132</v>
      </c>
      <c r="G9" s="141"/>
      <c r="H9" s="142" t="s">
        <v>411</v>
      </c>
      <c r="I9" s="143"/>
      <c r="J9" s="139"/>
      <c r="K9" s="139"/>
    </row>
    <row r="10" spans="1:31" ht="75" x14ac:dyDescent="0.3">
      <c r="A10" s="144" t="s">
        <v>1</v>
      </c>
      <c r="B10" s="144" t="s">
        <v>2</v>
      </c>
      <c r="C10" s="145" t="s">
        <v>821</v>
      </c>
      <c r="D10" s="269" t="s">
        <v>419</v>
      </c>
      <c r="E10" s="219"/>
      <c r="F10" s="146" t="s">
        <v>133</v>
      </c>
      <c r="G10" s="147" t="s">
        <v>134</v>
      </c>
      <c r="H10" s="147" t="s">
        <v>135</v>
      </c>
      <c r="I10" s="148" t="s">
        <v>317</v>
      </c>
      <c r="J10" s="146" t="s">
        <v>136</v>
      </c>
      <c r="K10" s="146" t="s">
        <v>1448</v>
      </c>
    </row>
    <row r="11" spans="1:31" s="33" customFormat="1" x14ac:dyDescent="0.25">
      <c r="A11" s="149">
        <v>1</v>
      </c>
      <c r="B11" s="33" t="s">
        <v>420</v>
      </c>
      <c r="C11" s="175"/>
      <c r="D11" s="209" t="str" cm="1">
        <f t="array" ref="D11">IF(ISNUMBER(MATCH(A11,{7,30,35,58,87,90,96,97,98,131,142,155,164,177,210,215},0)), _xlfn.IFS(C11="","",C11=0,3,C11=1,2,C11=2,1,C11=3,0), IF(C11="","",C11))</f>
        <v/>
      </c>
      <c r="F11" s="150" t="s">
        <v>331</v>
      </c>
      <c r="G11" s="220" t="str" cm="1">
        <f t="array" ref="G11">IF(COUNTA(C$11:C$230)&gt;0,AVERAGE(SUMIF(A$11:A$230,{1,23,26,30,124,155,157,189},D$11:D$230)),"")</f>
        <v/>
      </c>
      <c r="H11" s="152" t="str">
        <f ca="1">IF(G11="","",(G11-VLOOKUP(F11,INDIRECT($H$9),2, FALSE))/VLOOKUP(F11,INDIRECT($H$9),3, FALSE))</f>
        <v/>
      </c>
      <c r="I11" s="198" t="str" cm="1">
        <f t="array" aca="1" ref="I11" ca="1">_xlfn.IFS(H11="","",H11&lt;-1,"Low",AND(-1&lt;H11, H11&lt;1),"Average",H11&gt;1, "High")</f>
        <v/>
      </c>
      <c r="J11" s="221" t="s">
        <v>331</v>
      </c>
      <c r="K11" s="221" t="s">
        <v>1525</v>
      </c>
      <c r="AE11" s="62"/>
    </row>
    <row r="12" spans="1:31" s="33" customFormat="1" x14ac:dyDescent="0.25">
      <c r="A12" s="155">
        <v>2</v>
      </c>
      <c r="B12" s="156" t="s">
        <v>421</v>
      </c>
      <c r="C12" s="176"/>
      <c r="D12" s="209" t="str" cm="1">
        <f t="array" ref="D12">IF(ISNUMBER(MATCH(A12,{7,30,35,58,87,90,96,97,98,131,142,155,164,177,210,215},0)), _xlfn.IFS(C12="","",C12=0,3,C12=1,2,C12=2,1,C12=3,0), IF(C12="","",C12))</f>
        <v/>
      </c>
      <c r="F12" s="157" t="s">
        <v>332</v>
      </c>
      <c r="G12" s="222" t="str" cm="1">
        <f t="array" ref="G12">IF(COUNTA(C$11:C$230)&gt;0,AVERAGE(SUMIF(A$11:A$230,{79,93,95,96,109,110,130,141,174},D$11:D$230)),"")</f>
        <v/>
      </c>
      <c r="H12" s="159" t="str">
        <f t="shared" ref="H12:H41" ca="1" si="0">IF(G12="","",(G12-VLOOKUP(F12,INDIRECT($H$9),2, FALSE))/VLOOKUP(F12,INDIRECT($H$9),3, FALSE))</f>
        <v/>
      </c>
      <c r="I12" s="190" t="str" cm="1">
        <f t="array" aca="1" ref="I12" ca="1">_xlfn.IFS(H12="","",H12&lt;-1,"Low",AND(-1&lt;H12, H12&lt;1),"Average",H12&gt;1, "High")</f>
        <v/>
      </c>
      <c r="J12" s="223" t="s">
        <v>332</v>
      </c>
      <c r="K12" s="223" t="s">
        <v>1526</v>
      </c>
      <c r="AE12" s="62"/>
    </row>
    <row r="13" spans="1:31" s="33" customFormat="1" x14ac:dyDescent="0.25">
      <c r="A13" s="149">
        <v>3</v>
      </c>
      <c r="B13" s="33" t="s">
        <v>422</v>
      </c>
      <c r="C13" s="175"/>
      <c r="D13" s="209" t="str" cm="1">
        <f t="array" ref="D13">IF(ISNUMBER(MATCH(A13,{7,30,35,58,87,90,96,97,98,131,142,155,164,177,210,215},0)), _xlfn.IFS(C13="","",C13=0,3,C13=1,2,C13=2,1,C13=3,0), IF(C13="","",C13))</f>
        <v/>
      </c>
      <c r="F13" s="157" t="s">
        <v>333</v>
      </c>
      <c r="G13" s="222" t="str" cm="1">
        <f t="array" ref="G13">IF(COUNTA(C$11:C$230)&gt;0,AVERAGE(SUMIF(A$11:A$230,{14,43,74,111,113,173,191,211},D$11:D$230)),"")</f>
        <v/>
      </c>
      <c r="H13" s="159" t="str">
        <f t="shared" ca="1" si="0"/>
        <v/>
      </c>
      <c r="I13" s="190" t="str" cm="1">
        <f t="array" aca="1" ref="I13" ca="1">_xlfn.IFS(H13="","",H13&lt;-1,"Low",AND(-1&lt;H13, H13&lt;1),"Average",H13&gt;1, "High")</f>
        <v/>
      </c>
      <c r="J13" s="223" t="s">
        <v>333</v>
      </c>
      <c r="K13" s="223" t="s">
        <v>1527</v>
      </c>
      <c r="AE13" s="62"/>
    </row>
    <row r="14" spans="1:31" s="33" customFormat="1" x14ac:dyDescent="0.25">
      <c r="A14" s="155">
        <v>4</v>
      </c>
      <c r="B14" s="156" t="s">
        <v>423</v>
      </c>
      <c r="C14" s="176"/>
      <c r="D14" s="209" t="str" cm="1">
        <f t="array" ref="D14">IF(ISNUMBER(MATCH(A14,{7,30,35,58,87,90,96,97,98,131,142,155,164,177,210,215},0)), _xlfn.IFS(C14="","",C14=0,3,C14=1,2,C14=2,1,C14=3,0), IF(C14="","",C14))</f>
        <v/>
      </c>
      <c r="F14" s="157" t="s">
        <v>334</v>
      </c>
      <c r="G14" s="222" t="str" cm="1">
        <f t="array" ref="G14">IF(COUNTA(C$11:C$230)&gt;0,AVERAGE(SUMIF(A$11:A$230,{11,13,19,54,72,73,90,153,166,183,198,200,207,208},D$11:D$230)),"")</f>
        <v/>
      </c>
      <c r="H14" s="159" t="str">
        <f t="shared" ca="1" si="0"/>
        <v/>
      </c>
      <c r="I14" s="190" t="str" cm="1">
        <f t="array" aca="1" ref="I14" ca="1">_xlfn.IFS(H14="","",H14&lt;-1,"Low",AND(-1&lt;H14, H14&lt;1),"Average",H14&gt;1, "High")</f>
        <v/>
      </c>
      <c r="J14" s="223" t="s">
        <v>334</v>
      </c>
      <c r="K14" s="223" t="s">
        <v>1528</v>
      </c>
      <c r="AE14" s="62"/>
    </row>
    <row r="15" spans="1:31" s="33" customFormat="1" x14ac:dyDescent="0.25">
      <c r="A15" s="149">
        <v>5</v>
      </c>
      <c r="B15" s="33" t="s">
        <v>424</v>
      </c>
      <c r="C15" s="175"/>
      <c r="D15" s="209" t="str" cm="1">
        <f t="array" ref="D15">IF(ISNUMBER(MATCH(A15,{7,30,35,58,87,90,96,97,98,131,142,155,164,177,210,215},0)), _xlfn.IFS(C15="","",C15=0,3,C15=1,2,C15=2,1,C15=3,0), IF(C15="","",C15))</f>
        <v/>
      </c>
      <c r="F15" s="157" t="s">
        <v>335</v>
      </c>
      <c r="G15" s="222" t="str" cm="1">
        <f t="array" ref="G15">IF(COUNTA(C$11:C$230)&gt;0,AVERAGE(SUMIF(A$11:A$230,{41,53,56,76,126,134,142,206,214,218},D$11:D$230)),"")</f>
        <v/>
      </c>
      <c r="H15" s="159" t="str">
        <f t="shared" ca="1" si="0"/>
        <v/>
      </c>
      <c r="I15" s="190" t="str" cm="1">
        <f t="array" aca="1" ref="I15" ca="1">_xlfn.IFS(H15="","",H15&lt;-1,"Low",AND(-1&lt;H15, H15&lt;1),"Average",H15&gt;1, "High")</f>
        <v/>
      </c>
      <c r="J15" s="223" t="s">
        <v>335</v>
      </c>
      <c r="K15" s="223" t="s">
        <v>1529</v>
      </c>
      <c r="AE15" s="62"/>
    </row>
    <row r="16" spans="1:31" s="33" customFormat="1" x14ac:dyDescent="0.25">
      <c r="A16" s="155">
        <v>6</v>
      </c>
      <c r="B16" s="156" t="s">
        <v>425</v>
      </c>
      <c r="C16" s="176"/>
      <c r="D16" s="209" t="str" cm="1">
        <f t="array" ref="D16">IF(ISNUMBER(MATCH(A16,{7,30,35,58,87,90,96,97,98,131,142,155,164,177,210,215},0)), _xlfn.IFS(C16="","",C16=0,3,C16=1,2,C16=2,1,C16=3,0), IF(C16="","",C16))</f>
        <v/>
      </c>
      <c r="F16" s="157" t="s">
        <v>336</v>
      </c>
      <c r="G16" s="222" t="str" cm="1">
        <f t="array" ref="G16">IF(COUNTA(C$11:C$230)&gt;0,AVERAGE(SUMIF(A$11:A$230,{27,61,66,81,86,104,119,148,151,163,168,169,178,212},D$11:D$230)),"")</f>
        <v/>
      </c>
      <c r="H16" s="159" t="str">
        <f t="shared" ca="1" si="0"/>
        <v/>
      </c>
      <c r="I16" s="190" t="str" cm="1">
        <f t="array" aca="1" ref="I16" ca="1">_xlfn.IFS(H16="","",H16&lt;-1,"Low",AND(-1&lt;H16, H16&lt;1),"Average",H16&gt;1, "High")</f>
        <v/>
      </c>
      <c r="J16" s="223" t="s">
        <v>336</v>
      </c>
      <c r="K16" s="223" t="s">
        <v>1530</v>
      </c>
      <c r="AE16" s="62"/>
    </row>
    <row r="17" spans="1:31" s="33" customFormat="1" x14ac:dyDescent="0.25">
      <c r="A17" s="149">
        <v>7</v>
      </c>
      <c r="B17" s="33" t="s">
        <v>426</v>
      </c>
      <c r="C17" s="175"/>
      <c r="D17" s="209" t="str" cm="1">
        <f t="array" ref="D17">IF(ISNUMBER(MATCH(A17,{7,30,35,58,87,90,96,97,98,131,142,155,164,177,210,215},0)), _xlfn.IFS(C17="","",C17=0,3,C17=1,2,C17=2,1,C17=3,0), IF(C17="","",C17))</f>
        <v/>
      </c>
      <c r="F17" s="157" t="s">
        <v>337</v>
      </c>
      <c r="G17" s="222" t="str" cm="1">
        <f t="array" ref="G17">IF(COUNTA(C$11:C$230)&gt;0,AVERAGE(SUMIF(A$11:A$230,{6,29,47,68,88,118,132,144,199},D$11:D$230)),"")</f>
        <v/>
      </c>
      <c r="H17" s="159" t="str">
        <f t="shared" ca="1" si="0"/>
        <v/>
      </c>
      <c r="I17" s="190" t="str" cm="1">
        <f t="array" aca="1" ref="I17" ca="1">_xlfn.IFS(H17="","",H17&lt;-1,"Low",AND(-1&lt;H17, H17&lt;1),"Average",H17&gt;1, "High")</f>
        <v/>
      </c>
      <c r="J17" s="223" t="s">
        <v>337</v>
      </c>
      <c r="K17" s="223" t="s">
        <v>1531</v>
      </c>
      <c r="AE17" s="62"/>
    </row>
    <row r="18" spans="1:31" s="33" customFormat="1" x14ac:dyDescent="0.25">
      <c r="A18" s="155">
        <v>8</v>
      </c>
      <c r="B18" s="156" t="s">
        <v>427</v>
      </c>
      <c r="C18" s="176"/>
      <c r="D18" s="209" t="str" cm="1">
        <f t="array" ref="D18">IF(ISNUMBER(MATCH(A18,{7,30,35,58,87,90,96,97,98,131,142,155,164,177,210,215},0)), _xlfn.IFS(C18="","",C18=0,3,C18=1,2,C18=2,1,C18=3,0), IF(C18="","",C18))</f>
        <v/>
      </c>
      <c r="F18" s="157" t="s">
        <v>338</v>
      </c>
      <c r="G18" s="222" t="str" cm="1">
        <f t="array" ref="G18">IF(COUNTA(C$11:C$230)&gt;0,AVERAGE(SUMIF(A$11:A$230,{5,21,24,25,33,52,55,70,71,152,172,185,205},D$11:D$230)),"")</f>
        <v/>
      </c>
      <c r="H18" s="159" t="str">
        <f t="shared" ca="1" si="0"/>
        <v/>
      </c>
      <c r="I18" s="190" t="str" cm="1">
        <f t="array" aca="1" ref="I18" ca="1">_xlfn.IFS(H18="","",H18&lt;-1,"Low",AND(-1&lt;H18, H18&lt;1),"Average",H18&gt;1, "High")</f>
        <v/>
      </c>
      <c r="J18" s="223" t="s">
        <v>338</v>
      </c>
      <c r="K18" s="223" t="s">
        <v>1532</v>
      </c>
      <c r="AE18" s="62"/>
    </row>
    <row r="19" spans="1:31" s="33" customFormat="1" x14ac:dyDescent="0.25">
      <c r="A19" s="149">
        <v>9</v>
      </c>
      <c r="B19" s="33" t="s">
        <v>428</v>
      </c>
      <c r="C19" s="175"/>
      <c r="D19" s="209" t="str" cm="1">
        <f t="array" ref="D19">IF(ISNUMBER(MATCH(A19,{7,30,35,58,87,90,96,97,98,131,142,155,164,177,210,215},0)), _xlfn.IFS(C19="","",C19=0,3,C19=1,2,C19=2,1,C19=3,0), IF(C19="","",C19))</f>
        <v/>
      </c>
      <c r="F19" s="157" t="s">
        <v>1363</v>
      </c>
      <c r="G19" s="222" t="str" cm="1">
        <f t="array" ref="G19">IF(COUNTA(C$11:C$230)&gt;0,AVERAGE(SUMIF(A$11:A$230,{18,62,102,122,138,165,181},D$11:D$230)),"")</f>
        <v/>
      </c>
      <c r="H19" s="159" t="str">
        <f t="shared" ca="1" si="0"/>
        <v/>
      </c>
      <c r="I19" s="190" t="str" cm="1">
        <f t="array" aca="1" ref="I19" ca="1">_xlfn.IFS(H19="","",H19&lt;-1,"Low",AND(-1&lt;H19, H19&lt;1),"Average",H19&gt;1, "High")</f>
        <v/>
      </c>
      <c r="J19" s="223" t="s">
        <v>1363</v>
      </c>
      <c r="K19" s="223" t="s">
        <v>1652</v>
      </c>
      <c r="AE19" s="62"/>
    </row>
    <row r="20" spans="1:31" s="33" customFormat="1" x14ac:dyDescent="0.25">
      <c r="A20" s="155">
        <v>10</v>
      </c>
      <c r="B20" s="156" t="s">
        <v>429</v>
      </c>
      <c r="C20" s="176"/>
      <c r="D20" s="209" t="str" cm="1">
        <f t="array" ref="D20">IF(ISNUMBER(MATCH(A20,{7,30,35,58,87,90,96,97,98,131,142,155,164,177,210,215},0)), _xlfn.IFS(C20="","",C20=0,3,C20=1,2,C20=2,1,C20=3,0), IF(C20="","",C20))</f>
        <v/>
      </c>
      <c r="F20" s="157" t="s">
        <v>339</v>
      </c>
      <c r="G20" s="222" t="str" cm="1">
        <f t="array" ref="G20">IF(COUNTA(C$11:C$230)&gt;0,AVERAGE(SUMIF(A$11:A$230,{40,65,114,179,187,197},D$11:D$230)),"")</f>
        <v/>
      </c>
      <c r="H20" s="159" t="str">
        <f t="shared" ca="1" si="0"/>
        <v/>
      </c>
      <c r="I20" s="190" t="str" cm="1">
        <f t="array" aca="1" ref="I20" ca="1">_xlfn.IFS(H20="","",H20&lt;-1,"Low",AND(-1&lt;H20, H20&lt;1),"Average",H20&gt;1, "High")</f>
        <v/>
      </c>
      <c r="J20" s="223" t="s">
        <v>339</v>
      </c>
      <c r="K20" s="223" t="s">
        <v>1533</v>
      </c>
      <c r="AE20" s="62"/>
    </row>
    <row r="21" spans="1:31" s="33" customFormat="1" x14ac:dyDescent="0.25">
      <c r="A21" s="149">
        <v>11</v>
      </c>
      <c r="B21" s="33" t="s">
        <v>430</v>
      </c>
      <c r="C21" s="175"/>
      <c r="D21" s="209" t="str" cm="1">
        <f t="array" ref="D21">IF(ISNUMBER(MATCH(A21,{7,30,35,58,87,90,96,97,98,131,142,155,164,177,210,215},0)), _xlfn.IFS(C21="","",C21=0,3,C21=1,2,C21=2,1,C21=3,0), IF(C21="","",C21))</f>
        <v/>
      </c>
      <c r="F21" s="157" t="s">
        <v>340</v>
      </c>
      <c r="G21" s="222" t="str" cm="1">
        <f t="array" ref="G21">IF(COUNTA(C$11:C$230)&gt;0,AVERAGE(SUMIF(A$11:A$230,{28,32,38,85,92,116,158,170,188,216},D$11:D$230)),"")</f>
        <v/>
      </c>
      <c r="H21" s="159" t="str">
        <f t="shared" ca="1" si="0"/>
        <v/>
      </c>
      <c r="I21" s="190" t="str" cm="1">
        <f t="array" aca="1" ref="I21" ca="1">_xlfn.IFS(H21="","",H21&lt;-1,"Low",AND(-1&lt;H21, H21&lt;1),"Average",H21&gt;1, "High")</f>
        <v/>
      </c>
      <c r="J21" s="223" t="s">
        <v>340</v>
      </c>
      <c r="K21" s="223" t="s">
        <v>1534</v>
      </c>
      <c r="AE21" s="62"/>
    </row>
    <row r="22" spans="1:31" s="33" customFormat="1" x14ac:dyDescent="0.25">
      <c r="A22" s="155">
        <v>12</v>
      </c>
      <c r="B22" s="156" t="s">
        <v>431</v>
      </c>
      <c r="C22" s="176"/>
      <c r="D22" s="209" t="str" cm="1">
        <f t="array" ref="D22">IF(ISNUMBER(MATCH(A22,{7,30,35,58,87,90,96,97,98,131,142,155,164,177,210,215},0)), _xlfn.IFS(C22="","",C22=0,3,C22=1,2,C22=2,1,C22=3,0), IF(C22="","",C22))</f>
        <v/>
      </c>
      <c r="F22" s="157" t="s">
        <v>341</v>
      </c>
      <c r="G22" s="222" t="str" cm="1">
        <f t="array" ref="G22">IF(COUNTA(C$11:C$230)&gt;0,AVERAGE(SUMIF(A$11:A$230,{4,16,17,22,58,204},D$11:D$230)),"")</f>
        <v/>
      </c>
      <c r="H22" s="159" t="str">
        <f t="shared" ca="1" si="0"/>
        <v/>
      </c>
      <c r="I22" s="190" t="str" cm="1">
        <f t="array" aca="1" ref="I22" ca="1">_xlfn.IFS(H22="","",H22&lt;-1,"Low",AND(-1&lt;H22, H22&lt;1),"Average",H22&gt;1, "High")</f>
        <v/>
      </c>
      <c r="J22" s="223" t="s">
        <v>341</v>
      </c>
      <c r="K22" s="223" t="s">
        <v>1535</v>
      </c>
      <c r="AE22" s="62"/>
    </row>
    <row r="23" spans="1:31" s="33" customFormat="1" x14ac:dyDescent="0.25">
      <c r="A23" s="149">
        <v>13</v>
      </c>
      <c r="B23" s="33" t="s">
        <v>432</v>
      </c>
      <c r="C23" s="175"/>
      <c r="D23" s="209" t="str" cm="1">
        <f t="array" ref="D23">IF(ISNUMBER(MATCH(A23,{7,30,35,58,87,90,96,97,98,131,142,155,164,177,210,215},0)), _xlfn.IFS(C23="","",C23=0,3,C23=1,2,C23=2,1,C23=3,0), IF(C23="","",C23))</f>
        <v/>
      </c>
      <c r="F23" s="157" t="s">
        <v>1356</v>
      </c>
      <c r="G23" s="222" t="str" cm="1">
        <f t="array" ref="G23">IF(COUNTA(C$11:C$230)&gt;0,AVERAGE(SUMIF(A$11:A$230,{89,97,108,120,145,203},D$11:D$230)),"")</f>
        <v/>
      </c>
      <c r="H23" s="159" t="str">
        <f t="shared" ca="1" si="0"/>
        <v/>
      </c>
      <c r="I23" s="190" t="str" cm="1">
        <f t="array" aca="1" ref="I23" ca="1">_xlfn.IFS(H23="","",H23&lt;-1,"Low",AND(-1&lt;H23, H23&lt;1),"Average",H23&gt;1, "High")</f>
        <v/>
      </c>
      <c r="J23" s="223" t="s">
        <v>1356</v>
      </c>
      <c r="K23" s="223" t="s">
        <v>1536</v>
      </c>
      <c r="AE23" s="62"/>
    </row>
    <row r="24" spans="1:31" s="33" customFormat="1" x14ac:dyDescent="0.25">
      <c r="A24" s="155">
        <v>14</v>
      </c>
      <c r="B24" s="156" t="s">
        <v>433</v>
      </c>
      <c r="C24" s="176"/>
      <c r="D24" s="209" t="str" cm="1">
        <f t="array" ref="D24">IF(ISNUMBER(MATCH(A24,{7,30,35,58,87,90,96,97,98,131,142,155,164,177,210,215},0)), _xlfn.IFS(C24="","",C24=0,3,C24=1,2,C24=2,1,C24=3,0), IF(C24="","",C24))</f>
        <v/>
      </c>
      <c r="F24" s="157" t="s">
        <v>342</v>
      </c>
      <c r="G24" s="222" t="str" cm="1">
        <f t="array" ref="G24">IF(COUNTA(C$11:C$230)&gt;0,AVERAGE(SUMIF(A$11:A$230,{31,129,156,160,171,201,210},D$11:D$230)),"")</f>
        <v/>
      </c>
      <c r="H24" s="159" t="str">
        <f t="shared" ca="1" si="0"/>
        <v/>
      </c>
      <c r="I24" s="190" t="str" cm="1">
        <f t="array" aca="1" ref="I24" ca="1">_xlfn.IFS(H24="","",H24&lt;-1,"Low",AND(-1&lt;H24, H24&lt;1),"Average",H24&gt;1, "High")</f>
        <v/>
      </c>
      <c r="J24" s="223" t="s">
        <v>342</v>
      </c>
      <c r="K24" s="223" t="s">
        <v>1537</v>
      </c>
      <c r="AE24" s="62"/>
    </row>
    <row r="25" spans="1:31" s="33" customFormat="1" x14ac:dyDescent="0.25">
      <c r="A25" s="149">
        <v>15</v>
      </c>
      <c r="B25" s="33" t="s">
        <v>434</v>
      </c>
      <c r="C25" s="175"/>
      <c r="D25" s="209" t="str" cm="1">
        <f t="array" ref="D25">IF(ISNUMBER(MATCH(A25,{7,30,35,58,87,90,96,97,98,131,142,155,164,177,210,215},0)), _xlfn.IFS(C25="","",C25=0,3,C25=1,2,C25=2,1,C25=3,0), IF(C25="","",C25))</f>
        <v/>
      </c>
      <c r="F25" s="157" t="s">
        <v>343</v>
      </c>
      <c r="G25" s="222" t="str" cm="1">
        <f t="array" ref="G25">IF(COUNTA(C$11:C$230)&gt;0,AVERAGE(SUMIF(A$11:A$230,{107,125,162,180,219},D$11:D$230)),"")</f>
        <v/>
      </c>
      <c r="H25" s="159" t="str">
        <f t="shared" ca="1" si="0"/>
        <v/>
      </c>
      <c r="I25" s="190" t="str" cm="1">
        <f t="array" aca="1" ref="I25" ca="1">_xlfn.IFS(H25="","",H25&lt;-1,"Low",AND(-1&lt;H25, H25&lt;1),"Average",H25&gt;1, "High")</f>
        <v/>
      </c>
      <c r="J25" s="223" t="s">
        <v>343</v>
      </c>
      <c r="K25" s="223" t="s">
        <v>1538</v>
      </c>
      <c r="AE25" s="62"/>
    </row>
    <row r="26" spans="1:31" s="33" customFormat="1" x14ac:dyDescent="0.25">
      <c r="A26" s="155">
        <v>16</v>
      </c>
      <c r="B26" s="156" t="s">
        <v>435</v>
      </c>
      <c r="C26" s="176"/>
      <c r="D26" s="209" t="str" cm="1">
        <f t="array" ref="D26">IF(ISNUMBER(MATCH(A26,{7,30,35,58,87,90,96,97,98,131,142,155,164,177,210,215},0)), _xlfn.IFS(C26="","",C26=0,3,C26=1,2,C26=2,1,C26=3,0), IF(C26="","",C26))</f>
        <v/>
      </c>
      <c r="F26" s="157" t="s">
        <v>1357</v>
      </c>
      <c r="G26" s="222" t="str" cm="1">
        <f t="array" ref="G26">IF(COUNTA(C$11:C$230)&gt;0,AVERAGE(SUMIF(A$11:A$230,{36,37,42,44,59,77,83,154,192,193,213,217},D$11:D$230)),"")</f>
        <v/>
      </c>
      <c r="H26" s="159" t="str">
        <f t="shared" ca="1" si="0"/>
        <v/>
      </c>
      <c r="I26" s="190" t="str" cm="1">
        <f t="array" aca="1" ref="I26" ca="1">_xlfn.IFS(H26="","",H26&lt;-1,"Low",AND(-1&lt;H26, H26&lt;1),"Average",H26&gt;1, "High")</f>
        <v/>
      </c>
      <c r="J26" s="223" t="s">
        <v>1357</v>
      </c>
      <c r="K26" s="223" t="s">
        <v>1539</v>
      </c>
      <c r="AE26" s="62"/>
    </row>
    <row r="27" spans="1:31" x14ac:dyDescent="0.3">
      <c r="A27" s="149">
        <v>17</v>
      </c>
      <c r="B27" s="33" t="s">
        <v>436</v>
      </c>
      <c r="C27" s="175"/>
      <c r="D27" s="209" t="str" cm="1">
        <f t="array" ref="D27">IF(ISNUMBER(MATCH(A27,{7,30,35,58,87,90,96,97,98,131,142,155,164,177,210,215},0)), _xlfn.IFS(C27="","",C27=0,3,C27=1,2,C27=2,1,C27=3,0), IF(C27="","",C27))</f>
        <v/>
      </c>
      <c r="E27" s="33"/>
      <c r="F27" s="157" t="s">
        <v>344</v>
      </c>
      <c r="G27" s="222" t="str" cm="1">
        <f t="array" ref="G27">IF(COUNTA(C$11:C$230)&gt;0,AVERAGE(SUMIF(A$11:A$230,{46,51,60,78,80,100,121,128,137},D$11:D$230)),"")</f>
        <v/>
      </c>
      <c r="H27" s="159" t="str">
        <f t="shared" ca="1" si="0"/>
        <v/>
      </c>
      <c r="I27" s="190" t="str" cm="1">
        <f t="array" aca="1" ref="I27" ca="1">_xlfn.IFS(H27="","",H27&lt;-1,"Low",AND(-1&lt;H27, H27&lt;1),"Average",H27&gt;1, "High")</f>
        <v/>
      </c>
      <c r="J27" s="223" t="s">
        <v>344</v>
      </c>
      <c r="K27" s="223" t="s">
        <v>1540</v>
      </c>
      <c r="L27" s="33"/>
      <c r="N27" s="33"/>
    </row>
    <row r="28" spans="1:31" x14ac:dyDescent="0.3">
      <c r="A28" s="155">
        <v>18</v>
      </c>
      <c r="B28" s="156" t="s">
        <v>437</v>
      </c>
      <c r="C28" s="176"/>
      <c r="D28" s="209" t="str" cm="1">
        <f t="array" ref="D28">IF(ISNUMBER(MATCH(A28,{7,30,35,58,87,90,96,97,98,131,142,155,164,177,210,215},0)), _xlfn.IFS(C28="","",C28=0,3,C28=1,2,C28=2,1,C28=3,0), IF(C28="","",C28))</f>
        <v/>
      </c>
      <c r="E28" s="33"/>
      <c r="F28" s="157" t="s">
        <v>1358</v>
      </c>
      <c r="G28" s="222" t="str" cm="1">
        <f t="array" ref="G28">IF(COUNTA(C$11:C$230)&gt;0,AVERAGE(SUMIF(A$11:A$230,{8,45,84,91,101,167,184},D$11:D$230)),"")</f>
        <v/>
      </c>
      <c r="H28" s="159" t="str">
        <f t="shared" ca="1" si="0"/>
        <v/>
      </c>
      <c r="I28" s="190" t="str" cm="1">
        <f t="array" aca="1" ref="I28" ca="1">_xlfn.IFS(H28="","",H28&lt;-1,"Low",AND(-1&lt;H28, H28&lt;1),"Average",H28&gt;1, "High")</f>
        <v/>
      </c>
      <c r="J28" s="223" t="s">
        <v>1358</v>
      </c>
      <c r="K28" s="223" t="s">
        <v>1541</v>
      </c>
      <c r="L28" s="33"/>
      <c r="N28" s="33"/>
    </row>
    <row r="29" spans="1:31" x14ac:dyDescent="0.3">
      <c r="A29" s="149">
        <v>19</v>
      </c>
      <c r="B29" s="33" t="s">
        <v>438</v>
      </c>
      <c r="C29" s="175"/>
      <c r="D29" s="209" t="str" cm="1">
        <f t="array" ref="D29">IF(ISNUMBER(MATCH(A29,{7,30,35,58,87,90,96,97,98,131,142,155,164,177,210,215},0)), _xlfn.IFS(C29="","",C29=0,3,C29=1,2,C29=2,1,C29=3,0), IF(C29="","",C29))</f>
        <v/>
      </c>
      <c r="E29" s="33"/>
      <c r="F29" s="157" t="s">
        <v>1359</v>
      </c>
      <c r="G29" s="222" t="str" cm="1">
        <f t="array" ref="G29">IF(COUNTA(C$11:C$230)&gt;0,AVERAGE(SUMIF(A$11:A$230,{34,49,105,115,123,135,140,176,196,220},D$11:D$230)),"")</f>
        <v/>
      </c>
      <c r="H29" s="159" t="str">
        <f t="shared" ca="1" si="0"/>
        <v/>
      </c>
      <c r="I29" s="190" t="str" cm="1">
        <f t="array" aca="1" ref="I29" ca="1">_xlfn.IFS(H29="","",H29&lt;-1,"Low",AND(-1&lt;H29, H29&lt;1),"Average",H29&gt;1, "High")</f>
        <v/>
      </c>
      <c r="J29" s="223" t="s">
        <v>1359</v>
      </c>
      <c r="K29" s="223" t="s">
        <v>1542</v>
      </c>
      <c r="L29" s="33"/>
      <c r="N29" s="33"/>
    </row>
    <row r="30" spans="1:31" x14ac:dyDescent="0.3">
      <c r="A30" s="155">
        <v>20</v>
      </c>
      <c r="B30" s="156" t="s">
        <v>439</v>
      </c>
      <c r="C30" s="176"/>
      <c r="D30" s="209" t="str" cm="1">
        <f t="array" ref="D30">IF(ISNUMBER(MATCH(A30,{7,30,35,58,87,90,96,97,98,131,142,155,164,177,210,215},0)), _xlfn.IFS(C30="","",C30=0,3,C30=1,2,C30=2,1,C30=3,0), IF(C30="","",C30))</f>
        <v/>
      </c>
      <c r="E30" s="33"/>
      <c r="F30" s="157" t="s">
        <v>1360</v>
      </c>
      <c r="G30" s="222" t="str" cm="1">
        <f t="array" ref="G30">IF(COUNTA(C$11:C$230)&gt;0,AVERAGE(SUMIF(A$11:A$230,{3,7,35,39,48,67,69,87,98,112,159,164,195,215},D$11:D$230)),"")</f>
        <v/>
      </c>
      <c r="H30" s="159" t="str">
        <f t="shared" ca="1" si="0"/>
        <v/>
      </c>
      <c r="I30" s="190" t="str" cm="1">
        <f t="array" aca="1" ref="I30" ca="1">_xlfn.IFS(H30="","",H30&lt;-1,"Low",AND(-1&lt;H30, H30&lt;1),"Average",H30&gt;1, "High")</f>
        <v/>
      </c>
      <c r="J30" s="223" t="s">
        <v>1360</v>
      </c>
      <c r="K30" s="223" t="s">
        <v>1543</v>
      </c>
      <c r="L30" s="33"/>
      <c r="N30" s="33"/>
    </row>
    <row r="31" spans="1:31" x14ac:dyDescent="0.3">
      <c r="A31" s="149">
        <v>21</v>
      </c>
      <c r="B31" s="33" t="s">
        <v>440</v>
      </c>
      <c r="C31" s="175"/>
      <c r="D31" s="209" t="str" cm="1">
        <f t="array" ref="D31">IF(ISNUMBER(MATCH(A31,{7,30,35,58,87,90,96,97,98,131,142,155,164,177,210,215},0)), _xlfn.IFS(C31="","",C31=0,3,C31=1,2,C31=2,1,C31=3,0), IF(C31="","",C31))</f>
        <v/>
      </c>
      <c r="E31" s="33"/>
      <c r="F31" s="157" t="s">
        <v>1361</v>
      </c>
      <c r="G31" s="222" t="str" cm="1">
        <f t="array" ref="G31">IF(COUNTA(C$11:C$230)&gt;0,AVERAGE(SUMIF(A$11:A$230,{12,50,57,64,127,149,175},D$11:D$230)),"")</f>
        <v/>
      </c>
      <c r="H31" s="159" t="str">
        <f t="shared" ca="1" si="0"/>
        <v/>
      </c>
      <c r="I31" s="190" t="str" cm="1">
        <f t="array" aca="1" ref="I31" ca="1">_xlfn.IFS(H31="","",H31&lt;-1,"Low",AND(-1&lt;H31, H31&lt;1),"Average",H31&gt;1, "High")</f>
        <v/>
      </c>
      <c r="J31" s="223" t="s">
        <v>1361</v>
      </c>
      <c r="K31" s="223" t="s">
        <v>1544</v>
      </c>
      <c r="L31" s="33"/>
      <c r="N31" s="33"/>
    </row>
    <row r="32" spans="1:31" x14ac:dyDescent="0.3">
      <c r="A32" s="155">
        <v>22</v>
      </c>
      <c r="B32" s="156" t="s">
        <v>441</v>
      </c>
      <c r="C32" s="176"/>
      <c r="D32" s="209" t="str" cm="1">
        <f t="array" ref="D32">IF(ISNUMBER(MATCH(A32,{7,30,35,58,87,90,96,97,98,131,142,155,164,177,210,215},0)), _xlfn.IFS(C32="","",C32=0,3,C32=1,2,C32=2,1,C32=3,0), IF(C32="","",C32))</f>
        <v/>
      </c>
      <c r="E32" s="33"/>
      <c r="F32" s="157" t="s">
        <v>345</v>
      </c>
      <c r="G32" s="222" t="str" cm="1">
        <f t="array" ref="G32">IF(COUNTA(C$11:C$230)&gt;0,AVERAGE(SUMIF(A$11:A$230,{9,15,63,202},D$11:D$230)),"")</f>
        <v/>
      </c>
      <c r="H32" s="159" t="str">
        <f t="shared" ca="1" si="0"/>
        <v/>
      </c>
      <c r="I32" s="190" t="str" cm="1">
        <f t="array" aca="1" ref="I32" ca="1">_xlfn.IFS(H32="","",H32&lt;-1,"Low",AND(-1&lt;H32, H32&lt;1),"Average",H32&gt;1, "High")</f>
        <v/>
      </c>
      <c r="J32" s="223" t="s">
        <v>345</v>
      </c>
      <c r="K32" s="223" t="s">
        <v>1545</v>
      </c>
      <c r="L32" s="33"/>
      <c r="N32" s="33"/>
    </row>
    <row r="33" spans="1:14" x14ac:dyDescent="0.3">
      <c r="A33" s="149">
        <v>23</v>
      </c>
      <c r="B33" s="33" t="s">
        <v>442</v>
      </c>
      <c r="C33" s="175"/>
      <c r="D33" s="209" t="str" cm="1">
        <f t="array" ref="D33">IF(ISNUMBER(MATCH(A33,{7,30,35,58,87,90,96,97,98,131,142,155,164,177,210,215},0)), _xlfn.IFS(C33="","",C33=0,3,C33=1,2,C33=2,1,C33=3,0), IF(C33="","",C33))</f>
        <v/>
      </c>
      <c r="E33" s="33"/>
      <c r="F33" s="157" t="s">
        <v>346</v>
      </c>
      <c r="G33" s="222" t="str" cm="1">
        <f t="array" ref="G33">IF(COUNTA(C$11:C$230)&gt;0,AVERAGE(SUMIF(A$11:A$230,{2,103,117,131,133,177,190},D$11:D$230)),"")</f>
        <v/>
      </c>
      <c r="H33" s="159" t="str">
        <f ca="1">IF(G33="","",(G33-VLOOKUP(F33,INDIRECT($H$9),2, FALSE))/VLOOKUP(F33,INDIRECT($H$9),3, FALSE))</f>
        <v/>
      </c>
      <c r="I33" s="190" t="str" cm="1">
        <f t="array" aca="1" ref="I33" ca="1">_xlfn.IFS(H33="","",H33&lt;-1,"Low",AND(-1&lt;H33, H33&lt;1),"Average",H33&gt;1, "High")</f>
        <v/>
      </c>
      <c r="J33" s="223" t="s">
        <v>346</v>
      </c>
      <c r="K33" s="223" t="s">
        <v>1546</v>
      </c>
      <c r="L33" s="33"/>
      <c r="N33" s="33"/>
    </row>
    <row r="34" spans="1:14" x14ac:dyDescent="0.3">
      <c r="A34" s="155">
        <v>24</v>
      </c>
      <c r="B34" s="156" t="s">
        <v>443</v>
      </c>
      <c r="C34" s="176"/>
      <c r="D34" s="209" t="str" cm="1">
        <f t="array" ref="D34">IF(ISNUMBER(MATCH(A34,{7,30,35,58,87,90,96,97,98,131,142,155,164,177,210,215},0)), _xlfn.IFS(C34="","",C34=0,3,C34=1,2,C34=2,1,C34=3,0), IF(C34="","",C34))</f>
        <v/>
      </c>
      <c r="E34" s="33"/>
      <c r="F34" s="157" t="s">
        <v>1362</v>
      </c>
      <c r="G34" s="222" t="str" cm="1">
        <f t="array" ref="G34">IF(COUNTA(C$11:C$230)&gt;0,AVERAGE(SUMIF(A$11:A$230,{94,99,106,139,143,150,194,209},D$11:D$230)),"")</f>
        <v/>
      </c>
      <c r="H34" s="159" t="str">
        <f t="shared" ca="1" si="0"/>
        <v/>
      </c>
      <c r="I34" s="190" t="str" cm="1">
        <f t="array" aca="1" ref="I34" ca="1">_xlfn.IFS(H34="","",H34&lt;-1,"Low",AND(-1&lt;H34, H34&lt;1),"Average",H34&gt;1, "High")</f>
        <v/>
      </c>
      <c r="J34" s="223" t="s">
        <v>1362</v>
      </c>
      <c r="K34" s="223" t="s">
        <v>1547</v>
      </c>
      <c r="L34" s="33"/>
      <c r="N34" s="33"/>
    </row>
    <row r="35" spans="1:14" x14ac:dyDescent="0.3">
      <c r="A35" s="149">
        <v>25</v>
      </c>
      <c r="B35" s="33" t="s">
        <v>444</v>
      </c>
      <c r="C35" s="175"/>
      <c r="D35" s="209" t="str" cm="1">
        <f t="array" ref="D35">IF(ISNUMBER(MATCH(A35,{7,30,35,58,87,90,96,97,98,131,142,155,164,177,210,215},0)), _xlfn.IFS(C35="","",C35=0,3,C35=1,2,C35=2,1,C35=3,0), IF(C35="","",C35))</f>
        <v/>
      </c>
      <c r="E35" s="33"/>
      <c r="F35" s="157" t="s">
        <v>347</v>
      </c>
      <c r="G35" s="222" t="str" cm="1">
        <f t="array" ref="G35">IF(COUNTA(C$11:C$230)&gt;0,AVERAGE(SUMIF(A$11:A$230,{10,20,75,82,136,146,147,161,182,186},D$11:D$230)),"")</f>
        <v/>
      </c>
      <c r="H35" s="159" t="str">
        <f t="shared" ca="1" si="0"/>
        <v/>
      </c>
      <c r="I35" s="190" t="str" cm="1">
        <f t="array" aca="1" ref="I35" ca="1">_xlfn.IFS(H35="","",H35&lt;-1,"Low",AND(-1&lt;H35, H35&lt;1),"Average",H35&gt;1, "High")</f>
        <v/>
      </c>
      <c r="J35" s="223" t="s">
        <v>347</v>
      </c>
      <c r="K35" s="223" t="s">
        <v>1548</v>
      </c>
      <c r="L35" s="33"/>
      <c r="N35" s="33"/>
    </row>
    <row r="36" spans="1:14" x14ac:dyDescent="0.3">
      <c r="A36" s="155">
        <v>26</v>
      </c>
      <c r="B36" s="156" t="s">
        <v>445</v>
      </c>
      <c r="C36" s="176"/>
      <c r="D36" s="209" t="str" cm="1">
        <f t="array" ref="D36">IF(ISNUMBER(MATCH(A36,{7,30,35,58,87,90,96,97,98,131,142,155,164,177,210,215},0)), _xlfn.IFS(C36="","",C36=0,3,C36=1,2,C36=2,1,C36=3,0), IF(C36="","",C36))</f>
        <v/>
      </c>
      <c r="E36" s="33"/>
      <c r="F36" s="224" t="s">
        <v>324</v>
      </c>
      <c r="G36" s="282"/>
      <c r="H36" s="226" t="str">
        <f t="shared" ca="1" si="0"/>
        <v/>
      </c>
      <c r="I36" s="227" t="str" cm="1">
        <f t="array" aca="1" ref="I36" ca="1">_xlfn.IFS(H36="","",H36&lt;-1,"Low",AND(-1&lt;H36, H36&lt;1),"Average",H36&gt;1, "High")</f>
        <v/>
      </c>
      <c r="J36" s="228"/>
      <c r="K36" s="229" t="s">
        <v>1598</v>
      </c>
      <c r="L36" s="33"/>
      <c r="N36" s="33"/>
    </row>
    <row r="37" spans="1:14" x14ac:dyDescent="0.3">
      <c r="A37" s="149">
        <v>27</v>
      </c>
      <c r="B37" s="33" t="s">
        <v>446</v>
      </c>
      <c r="C37" s="175"/>
      <c r="D37" s="209" t="str" cm="1">
        <f t="array" ref="D37">IF(ISNUMBER(MATCH(A37,{7,30,35,58,87,90,96,97,98,131,142,155,164,177,210,215},0)), _xlfn.IFS(C37="","",C37=0,3,C37=1,2,C37=2,1,C37=3,0), IF(C37="","",C37))</f>
        <v/>
      </c>
      <c r="E37" s="33"/>
      <c r="F37" s="157" t="s">
        <v>325</v>
      </c>
      <c r="G37" s="222" t="str" cm="1">
        <f t="array" ref="G37">IF(SUM(G$11:G$35)&gt;0,AVERAGE(SUMIF(F$11:F$35,{"Emotional lability","Anxiousness","Separation insecurity"},G$11:G$35)),"")</f>
        <v/>
      </c>
      <c r="H37" s="159" t="str">
        <f t="shared" ca="1" si="0"/>
        <v/>
      </c>
      <c r="I37" s="190" t="str" cm="1">
        <f t="array" aca="1" ref="I37" ca="1">_xlfn.IFS(H37="","",H37&lt;-1,"Low",AND(-1&lt;H37, H37&lt;1),"Average",H37&gt;1, "High")</f>
        <v/>
      </c>
      <c r="J37" s="223" t="s">
        <v>325</v>
      </c>
      <c r="K37" s="223" t="s">
        <v>1629</v>
      </c>
      <c r="L37" s="33"/>
      <c r="N37" s="33"/>
    </row>
    <row r="38" spans="1:14" x14ac:dyDescent="0.3">
      <c r="A38" s="155">
        <v>28</v>
      </c>
      <c r="B38" s="156" t="s">
        <v>447</v>
      </c>
      <c r="C38" s="176"/>
      <c r="D38" s="209" t="str" cm="1">
        <f t="array" ref="D38">IF(ISNUMBER(MATCH(A38,{7,30,35,58,87,90,96,97,98,131,142,155,164,177,210,215},0)), _xlfn.IFS(C38="","",C38=0,3,C38=1,2,C38=2,1,C38=3,0), IF(C38="","",C38))</f>
        <v/>
      </c>
      <c r="E38" s="33"/>
      <c r="F38" s="157" t="s">
        <v>326</v>
      </c>
      <c r="G38" s="222" t="str" cm="1">
        <f t="array" ref="G38">IF(SUM(G$11:G$35)&gt;0,AVERAGE(SUMIF(F$11:F$35,{"Withdrawal","Anhedonia","Intimacy avoidance"},G$11:G$35)),"")</f>
        <v/>
      </c>
      <c r="H38" s="159" t="str">
        <f t="shared" ca="1" si="0"/>
        <v/>
      </c>
      <c r="I38" s="190" t="str" cm="1">
        <f t="array" aca="1" ref="I38" ca="1">_xlfn.IFS(H38="","",H38&lt;-1,"Low",AND(-1&lt;H38, H38&lt;1),"Average",H38&gt;1, "High")</f>
        <v/>
      </c>
      <c r="J38" s="223" t="s">
        <v>326</v>
      </c>
      <c r="K38" s="223" t="s">
        <v>1630</v>
      </c>
      <c r="L38" s="33"/>
      <c r="N38" s="33"/>
    </row>
    <row r="39" spans="1:14" x14ac:dyDescent="0.3">
      <c r="A39" s="149">
        <v>29</v>
      </c>
      <c r="B39" s="33" t="s">
        <v>448</v>
      </c>
      <c r="C39" s="175"/>
      <c r="D39" s="209" t="str" cm="1">
        <f t="array" ref="D39">IF(ISNUMBER(MATCH(A39,{7,30,35,58,87,90,96,97,98,131,142,155,164,177,210,215},0)), _xlfn.IFS(C39="","",C39=0,3,C39=1,2,C39=2,1,C39=3,0), IF(C39="","",C39))</f>
        <v/>
      </c>
      <c r="E39" s="33"/>
      <c r="F39" s="157" t="s">
        <v>327</v>
      </c>
      <c r="G39" s="222" t="str" cm="1">
        <f t="array" ref="G39">IF(SUM(G$11:G$35)&gt;0,AVERAGE(SUMIF(F$11:F$35,{"Manipulativeness","Deceitfulness","Grandiosity"},G$11:G$35)),"")</f>
        <v/>
      </c>
      <c r="H39" s="159" t="str">
        <f t="shared" ca="1" si="0"/>
        <v/>
      </c>
      <c r="I39" s="190" t="str" cm="1">
        <f t="array" aca="1" ref="I39" ca="1">_xlfn.IFS(H39="","",H39&lt;-1,"Low",AND(-1&lt;H39, H39&lt;1),"Average",H39&gt;1, "High")</f>
        <v/>
      </c>
      <c r="J39" s="223" t="s">
        <v>327</v>
      </c>
      <c r="K39" s="223" t="s">
        <v>1617</v>
      </c>
      <c r="L39" s="33"/>
      <c r="N39" s="33"/>
    </row>
    <row r="40" spans="1:14" x14ac:dyDescent="0.3">
      <c r="A40" s="155">
        <v>30</v>
      </c>
      <c r="B40" s="156" t="s">
        <v>449</v>
      </c>
      <c r="C40" s="176"/>
      <c r="D40" s="209" t="str" cm="1">
        <f t="array" ref="D40">IF(ISNUMBER(MATCH(A40,{7,30,35,58,87,90,96,97,98,131,142,155,164,177,210,215},0)), _xlfn.IFS(C40="","",C40=0,3,C40=1,2,C40=2,1,C40=3,0), IF(C40="","",C40))</f>
        <v/>
      </c>
      <c r="E40" s="33"/>
      <c r="F40" s="157" t="s">
        <v>328</v>
      </c>
      <c r="G40" s="222" t="str" cm="1">
        <f t="array" ref="G40">IF(SUM(G$11:G$35)&gt;0,AVERAGE(SUMIF(F$11:F$35,{"Irresponsibility","Impulsivity","Distractibility"},G$11:G$35)),"")</f>
        <v/>
      </c>
      <c r="H40" s="159" t="str">
        <f t="shared" ca="1" si="0"/>
        <v/>
      </c>
      <c r="I40" s="190" t="str" cm="1">
        <f t="array" aca="1" ref="I40" ca="1">_xlfn.IFS(H40="","",H40&lt;-1,"Low",AND(-1&lt;H40, H40&lt;1),"Average",H40&gt;1, "High")</f>
        <v/>
      </c>
      <c r="J40" s="223" t="s">
        <v>328</v>
      </c>
      <c r="K40" s="223" t="s">
        <v>1618</v>
      </c>
      <c r="L40" s="33"/>
      <c r="N40" s="33"/>
    </row>
    <row r="41" spans="1:14" x14ac:dyDescent="0.3">
      <c r="A41" s="149">
        <v>31</v>
      </c>
      <c r="B41" s="33" t="s">
        <v>450</v>
      </c>
      <c r="C41" s="175"/>
      <c r="D41" s="209" t="str" cm="1">
        <f t="array" ref="D41">IF(ISNUMBER(MATCH(A41,{7,30,35,58,87,90,96,97,98,131,142,155,164,177,210,215},0)), _xlfn.IFS(C41="","",C41=0,3,C41=1,2,C41=2,1,C41=3,0), IF(C41="","",C41))</f>
        <v/>
      </c>
      <c r="E41" s="33"/>
      <c r="F41" s="162" t="s">
        <v>329</v>
      </c>
      <c r="G41" s="230" t="str" cm="1">
        <f t="array" ref="G41">IF(SUM(G$11:G$35)&gt;0,AVERAGE(SUMIF(F$11:F$35,{"Unusual beliefs &amp; experiences","Eccentricity","Perceptual dysregulation"},G$11:G$35)),"")</f>
        <v/>
      </c>
      <c r="H41" s="163" t="str">
        <f t="shared" ca="1" si="0"/>
        <v/>
      </c>
      <c r="I41" s="137" t="str" cm="1">
        <f t="array" aca="1" ref="I41" ca="1">_xlfn.IFS(H41="","",H41&lt;-1,"Low",AND(-1&lt;H41, H41&lt;1),"Average",H41&gt;1, "High")</f>
        <v/>
      </c>
      <c r="J41" s="231" t="s">
        <v>329</v>
      </c>
      <c r="K41" s="231" t="s">
        <v>1631</v>
      </c>
      <c r="L41" s="33"/>
      <c r="N41" s="33"/>
    </row>
    <row r="42" spans="1:14" x14ac:dyDescent="0.3">
      <c r="A42" s="155">
        <v>32</v>
      </c>
      <c r="B42" s="156" t="s">
        <v>451</v>
      </c>
      <c r="C42" s="176"/>
      <c r="D42" s="209" t="str" cm="1">
        <f t="array" ref="D42">IF(ISNUMBER(MATCH(A42,{7,30,35,58,87,90,96,97,98,131,142,155,164,177,210,215},0)), _xlfn.IFS(C42="","",C42=0,3,C42=1,2,C42=2,1,C42=3,0), IF(C42="","",C42))</f>
        <v/>
      </c>
      <c r="E42" s="33"/>
      <c r="I42" s="232"/>
    </row>
    <row r="43" spans="1:14" x14ac:dyDescent="0.3">
      <c r="A43" s="149">
        <v>33</v>
      </c>
      <c r="B43" s="33" t="s">
        <v>452</v>
      </c>
      <c r="C43" s="175"/>
      <c r="D43" s="209" t="str" cm="1">
        <f t="array" ref="D43">IF(ISNUMBER(MATCH(A43,{7,30,35,58,87,90,96,97,98,131,142,155,164,177,210,215},0)), _xlfn.IFS(C43="","",C43=0,3,C43=1,2,C43=2,1,C43=3,0), IF(C43="","",C43))</f>
        <v/>
      </c>
      <c r="E43" s="33"/>
    </row>
    <row r="44" spans="1:14" ht="21" x14ac:dyDescent="0.35">
      <c r="A44" s="155">
        <v>34</v>
      </c>
      <c r="B44" s="156" t="s">
        <v>453</v>
      </c>
      <c r="C44" s="176"/>
      <c r="D44" s="209" t="str" cm="1">
        <f t="array" ref="D44">IF(ISNUMBER(MATCH(A44,{7,30,35,58,87,90,96,97,98,131,142,155,164,177,210,215},0)), _xlfn.IFS(C44="","",C44=0,3,C44=1,2,C44=2,1,C44=3,0), IF(C44="","",C44))</f>
        <v/>
      </c>
      <c r="E44" s="33"/>
      <c r="F44" s="166" t="s">
        <v>237</v>
      </c>
      <c r="G44" s="132"/>
      <c r="H44" s="132"/>
      <c r="I44" s="132"/>
      <c r="J44" s="132"/>
      <c r="K44" s="132"/>
    </row>
    <row r="45" spans="1:14" x14ac:dyDescent="0.3">
      <c r="A45" s="149">
        <v>35</v>
      </c>
      <c r="B45" s="33" t="s">
        <v>454</v>
      </c>
      <c r="C45" s="175"/>
      <c r="D45" s="209" t="str" cm="1">
        <f t="array" ref="D45">IF(ISNUMBER(MATCH(A45,{7,30,35,58,87,90,96,97,98,131,142,155,164,177,210,215},0)), _xlfn.IFS(C45="","",C45=0,3,C45=1,2,C45=2,1,C45=3,0), IF(C45="","",C45))</f>
        <v/>
      </c>
      <c r="E45" s="33"/>
      <c r="F45" s="184" t="s">
        <v>784</v>
      </c>
      <c r="G45" s="266"/>
      <c r="H45" s="266"/>
    </row>
    <row r="46" spans="1:14" x14ac:dyDescent="0.3">
      <c r="A46" s="155">
        <v>36</v>
      </c>
      <c r="B46" s="156" t="s">
        <v>455</v>
      </c>
      <c r="C46" s="176"/>
      <c r="D46" s="209" t="str" cm="1">
        <f t="array" ref="D46">IF(ISNUMBER(MATCH(A46,{7,30,35,58,87,90,96,97,98,131,142,155,164,177,210,215},0)), _xlfn.IFS(C46="","",C46=0,3,C46=1,2,C46=2,1,C46=3,0), IF(C46="","",C46))</f>
        <v/>
      </c>
      <c r="E46" s="33"/>
      <c r="F46" s="184"/>
      <c r="G46" s="266"/>
      <c r="H46" s="266"/>
    </row>
    <row r="47" spans="1:14" x14ac:dyDescent="0.3">
      <c r="A47" s="149">
        <v>37</v>
      </c>
      <c r="B47" s="33" t="s">
        <v>456</v>
      </c>
      <c r="C47" s="175"/>
      <c r="D47" s="209" t="str" cm="1">
        <f t="array" ref="D47">IF(ISNUMBER(MATCH(A47,{7,30,35,58,87,90,96,97,98,131,142,155,164,177,210,215},0)), _xlfn.IFS(C47="","",C47=0,3,C47=1,2,C47=2,1,C47=3,0), IF(C47="","",C47))</f>
        <v/>
      </c>
      <c r="E47" s="33"/>
      <c r="F47" s="188" t="s">
        <v>150</v>
      </c>
      <c r="G47" s="266"/>
      <c r="H47" s="266"/>
    </row>
    <row r="48" spans="1:14" x14ac:dyDescent="0.3">
      <c r="A48" s="155">
        <v>38</v>
      </c>
      <c r="B48" s="156" t="s">
        <v>457</v>
      </c>
      <c r="C48" s="176"/>
      <c r="D48" s="209" t="str" cm="1">
        <f t="array" ref="D48">IF(ISNUMBER(MATCH(A48,{7,30,35,58,87,90,96,97,98,131,142,155,164,177,210,215},0)), _xlfn.IFS(C48="","",C48=0,3,C48=1,2,C48=2,1,C48=3,0), IF(C48="","",C48))</f>
        <v/>
      </c>
      <c r="E48" s="33"/>
      <c r="F48" s="101" t="s">
        <v>785</v>
      </c>
      <c r="G48" s="266"/>
      <c r="H48" s="266"/>
    </row>
    <row r="49" spans="1:8" x14ac:dyDescent="0.3">
      <c r="A49" s="149">
        <v>39</v>
      </c>
      <c r="B49" s="33" t="s">
        <v>458</v>
      </c>
      <c r="C49" s="175"/>
      <c r="D49" s="209" t="str" cm="1">
        <f t="array" ref="D49">IF(ISNUMBER(MATCH(A49,{7,30,35,58,87,90,96,97,98,131,142,155,164,177,210,215},0)), _xlfn.IFS(C49="","",C49=0,3,C49=1,2,C49=2,1,C49=3,0), IF(C49="","",C49))</f>
        <v/>
      </c>
      <c r="E49" s="33"/>
      <c r="F49" s="101" t="s">
        <v>786</v>
      </c>
      <c r="G49" s="266"/>
      <c r="H49" s="266"/>
    </row>
    <row r="50" spans="1:8" x14ac:dyDescent="0.3">
      <c r="A50" s="155">
        <v>40</v>
      </c>
      <c r="B50" s="156" t="s">
        <v>459</v>
      </c>
      <c r="C50" s="176"/>
      <c r="D50" s="209" t="str" cm="1">
        <f t="array" ref="D50">IF(ISNUMBER(MATCH(A50,{7,30,35,58,87,90,96,97,98,131,142,155,164,177,210,215},0)), _xlfn.IFS(C50="","",C50=0,3,C50=1,2,C50=2,1,C50=3,0), IF(C50="","",C50))</f>
        <v/>
      </c>
      <c r="E50" s="33"/>
      <c r="F50" s="101" t="s">
        <v>787</v>
      </c>
      <c r="G50" s="266"/>
      <c r="H50" s="266"/>
    </row>
    <row r="51" spans="1:8" x14ac:dyDescent="0.3">
      <c r="A51" s="149">
        <v>41</v>
      </c>
      <c r="B51" s="33" t="s">
        <v>460</v>
      </c>
      <c r="C51" s="175"/>
      <c r="D51" s="209" t="str" cm="1">
        <f t="array" ref="D51">IF(ISNUMBER(MATCH(A51,{7,30,35,58,87,90,96,97,98,131,142,155,164,177,210,215},0)), _xlfn.IFS(C51="","",C51=0,3,C51=1,2,C51=2,1,C51=3,0), IF(C51="","",C51))</f>
        <v/>
      </c>
      <c r="E51" s="33"/>
      <c r="F51" s="185"/>
      <c r="G51" s="266"/>
      <c r="H51" s="266"/>
    </row>
    <row r="52" spans="1:8" x14ac:dyDescent="0.3">
      <c r="A52" s="155">
        <v>42</v>
      </c>
      <c r="B52" s="156" t="s">
        <v>461</v>
      </c>
      <c r="C52" s="176"/>
      <c r="D52" s="209" t="str" cm="1">
        <f t="array" ref="D52">IF(ISNUMBER(MATCH(A52,{7,30,35,58,87,90,96,97,98,131,142,155,164,177,210,215},0)), _xlfn.IFS(C52="","",C52=0,3,C52=1,2,C52=2,1,C52=3,0), IF(C52="","",C52))</f>
        <v/>
      </c>
      <c r="E52" s="33"/>
      <c r="F52" s="33" t="s">
        <v>1574</v>
      </c>
      <c r="G52" s="266"/>
      <c r="H52" s="266"/>
    </row>
    <row r="53" spans="1:8" x14ac:dyDescent="0.3">
      <c r="A53" s="149">
        <v>43</v>
      </c>
      <c r="B53" s="33" t="s">
        <v>462</v>
      </c>
      <c r="C53" s="175"/>
      <c r="D53" s="209" t="str" cm="1">
        <f t="array" ref="D53">IF(ISNUMBER(MATCH(A53,{7,30,35,58,87,90,96,97,98,131,142,155,164,177,210,215},0)), _xlfn.IFS(C53="","",C53=0,3,C53=1,2,C53=2,1,C53=3,0), IF(C53="","",C53))</f>
        <v/>
      </c>
      <c r="E53" s="33"/>
      <c r="F53" s="185" t="s">
        <v>1573</v>
      </c>
      <c r="G53" s="266" t="s">
        <v>1575</v>
      </c>
    </row>
    <row r="54" spans="1:8" x14ac:dyDescent="0.3">
      <c r="A54" s="155">
        <v>44</v>
      </c>
      <c r="B54" s="156" t="s">
        <v>463</v>
      </c>
      <c r="C54" s="176"/>
      <c r="D54" s="209" t="str" cm="1">
        <f t="array" ref="D54">IF(ISNUMBER(MATCH(A54,{7,30,35,58,87,90,96,97,98,131,142,155,164,177,210,215},0)), _xlfn.IFS(C54="","",C54=0,3,C54=1,2,C54=2,1,C54=3,0), IF(C54="","",C54))</f>
        <v/>
      </c>
      <c r="E54" s="33"/>
    </row>
    <row r="55" spans="1:8" x14ac:dyDescent="0.3">
      <c r="A55" s="149">
        <v>45</v>
      </c>
      <c r="B55" s="33" t="s">
        <v>464</v>
      </c>
      <c r="C55" s="175"/>
      <c r="D55" s="209" t="str" cm="1">
        <f t="array" ref="D55">IF(ISNUMBER(MATCH(A55,{7,30,35,58,87,90,96,97,98,131,142,155,164,177,210,215},0)), _xlfn.IFS(C55="","",C55=0,3,C55=1,2,C55=2,1,C55=3,0), IF(C55="","",C55))</f>
        <v/>
      </c>
      <c r="E55" s="33"/>
    </row>
    <row r="56" spans="1:8" x14ac:dyDescent="0.3">
      <c r="A56" s="155">
        <v>46</v>
      </c>
      <c r="B56" s="156" t="s">
        <v>465</v>
      </c>
      <c r="C56" s="176"/>
      <c r="D56" s="209" t="str" cm="1">
        <f t="array" ref="D56">IF(ISNUMBER(MATCH(A56,{7,30,35,58,87,90,96,97,98,131,142,155,164,177,210,215},0)), _xlfn.IFS(C56="","",C56=0,3,C56=1,2,C56=2,1,C56=3,0), IF(C56="","",C56))</f>
        <v/>
      </c>
      <c r="E56" s="33"/>
    </row>
    <row r="57" spans="1:8" x14ac:dyDescent="0.3">
      <c r="A57" s="149">
        <v>47</v>
      </c>
      <c r="B57" s="33" t="s">
        <v>466</v>
      </c>
      <c r="C57" s="175"/>
      <c r="D57" s="209" t="str" cm="1">
        <f t="array" ref="D57">IF(ISNUMBER(MATCH(A57,{7,30,35,58,87,90,96,97,98,131,142,155,164,177,210,215},0)), _xlfn.IFS(C57="","",C57=0,3,C57=1,2,C57=2,1,C57=3,0), IF(C57="","",C57))</f>
        <v/>
      </c>
      <c r="E57" s="33"/>
    </row>
    <row r="58" spans="1:8" x14ac:dyDescent="0.3">
      <c r="A58" s="155">
        <v>48</v>
      </c>
      <c r="B58" s="156" t="s">
        <v>467</v>
      </c>
      <c r="C58" s="176"/>
      <c r="D58" s="209" t="str" cm="1">
        <f t="array" ref="D58">IF(ISNUMBER(MATCH(A58,{7,30,35,58,87,90,96,97,98,131,142,155,164,177,210,215},0)), _xlfn.IFS(C58="","",C58=0,3,C58=1,2,C58=2,1,C58=3,0), IF(C58="","",C58))</f>
        <v/>
      </c>
      <c r="E58" s="33"/>
    </row>
    <row r="59" spans="1:8" x14ac:dyDescent="0.3">
      <c r="A59" s="149">
        <v>49</v>
      </c>
      <c r="B59" s="33" t="s">
        <v>468</v>
      </c>
      <c r="C59" s="175"/>
      <c r="D59" s="209" t="str" cm="1">
        <f t="array" ref="D59">IF(ISNUMBER(MATCH(A59,{7,30,35,58,87,90,96,97,98,131,142,155,164,177,210,215},0)), _xlfn.IFS(C59="","",C59=0,3,C59=1,2,C59=2,1,C59=3,0), IF(C59="","",C59))</f>
        <v/>
      </c>
      <c r="E59" s="33"/>
    </row>
    <row r="60" spans="1:8" x14ac:dyDescent="0.3">
      <c r="A60" s="155">
        <v>50</v>
      </c>
      <c r="B60" s="156" t="s">
        <v>469</v>
      </c>
      <c r="C60" s="176"/>
      <c r="D60" s="209" t="str" cm="1">
        <f t="array" ref="D60">IF(ISNUMBER(MATCH(A60,{7,30,35,58,87,90,96,97,98,131,142,155,164,177,210,215},0)), _xlfn.IFS(C60="","",C60=0,3,C60=1,2,C60=2,1,C60=3,0), IF(C60="","",C60))</f>
        <v/>
      </c>
      <c r="E60" s="33"/>
    </row>
    <row r="61" spans="1:8" x14ac:dyDescent="0.3">
      <c r="A61" s="149">
        <v>51</v>
      </c>
      <c r="B61" s="33" t="s">
        <v>470</v>
      </c>
      <c r="C61" s="175"/>
      <c r="D61" s="209" t="str" cm="1">
        <f t="array" ref="D61">IF(ISNUMBER(MATCH(A61,{7,30,35,58,87,90,96,97,98,131,142,155,164,177,210,215},0)), _xlfn.IFS(C61="","",C61=0,3,C61=1,2,C61=2,1,C61=3,0), IF(C61="","",C61))</f>
        <v/>
      </c>
      <c r="E61" s="33"/>
    </row>
    <row r="62" spans="1:8" x14ac:dyDescent="0.3">
      <c r="A62" s="155">
        <v>52</v>
      </c>
      <c r="B62" s="156" t="s">
        <v>471</v>
      </c>
      <c r="C62" s="176"/>
      <c r="D62" s="209" t="str" cm="1">
        <f t="array" ref="D62">IF(ISNUMBER(MATCH(A62,{7,30,35,58,87,90,96,97,98,131,142,155,164,177,210,215},0)), _xlfn.IFS(C62="","",C62=0,3,C62=1,2,C62=2,1,C62=3,0), IF(C62="","",C62))</f>
        <v/>
      </c>
      <c r="E62" s="33"/>
    </row>
    <row r="63" spans="1:8" x14ac:dyDescent="0.3">
      <c r="A63" s="149">
        <v>53</v>
      </c>
      <c r="B63" s="33" t="s">
        <v>472</v>
      </c>
      <c r="C63" s="175"/>
      <c r="D63" s="209" t="str" cm="1">
        <f t="array" ref="D63">IF(ISNUMBER(MATCH(A63,{7,30,35,58,87,90,96,97,98,131,142,155,164,177,210,215},0)), _xlfn.IFS(C63="","",C63=0,3,C63=1,2,C63=2,1,C63=3,0), IF(C63="","",C63))</f>
        <v/>
      </c>
      <c r="E63" s="33"/>
    </row>
    <row r="64" spans="1:8" x14ac:dyDescent="0.3">
      <c r="A64" s="155">
        <v>54</v>
      </c>
      <c r="B64" s="156" t="s">
        <v>473</v>
      </c>
      <c r="C64" s="176"/>
      <c r="D64" s="209" t="str" cm="1">
        <f t="array" ref="D64">IF(ISNUMBER(MATCH(A64,{7,30,35,58,87,90,96,97,98,131,142,155,164,177,210,215},0)), _xlfn.IFS(C64="","",C64=0,3,C64=1,2,C64=2,1,C64=3,0), IF(C64="","",C64))</f>
        <v/>
      </c>
      <c r="E64" s="33"/>
    </row>
    <row r="65" spans="1:5" x14ac:dyDescent="0.3">
      <c r="A65" s="149">
        <v>55</v>
      </c>
      <c r="B65" s="33" t="s">
        <v>474</v>
      </c>
      <c r="C65" s="175"/>
      <c r="D65" s="209" t="str" cm="1">
        <f t="array" ref="D65">IF(ISNUMBER(MATCH(A65,{7,30,35,58,87,90,96,97,98,131,142,155,164,177,210,215},0)), _xlfn.IFS(C65="","",C65=0,3,C65=1,2,C65=2,1,C65=3,0), IF(C65="","",C65))</f>
        <v/>
      </c>
      <c r="E65" s="33"/>
    </row>
    <row r="66" spans="1:5" x14ac:dyDescent="0.3">
      <c r="A66" s="155">
        <v>56</v>
      </c>
      <c r="B66" s="156" t="s">
        <v>475</v>
      </c>
      <c r="C66" s="176"/>
      <c r="D66" s="209" t="str" cm="1">
        <f t="array" ref="D66">IF(ISNUMBER(MATCH(A66,{7,30,35,58,87,90,96,97,98,131,142,155,164,177,210,215},0)), _xlfn.IFS(C66="","",C66=0,3,C66=1,2,C66=2,1,C66=3,0), IF(C66="","",C66))</f>
        <v/>
      </c>
      <c r="E66" s="33"/>
    </row>
    <row r="67" spans="1:5" x14ac:dyDescent="0.3">
      <c r="A67" s="149">
        <v>57</v>
      </c>
      <c r="B67" s="33" t="s">
        <v>476</v>
      </c>
      <c r="C67" s="175"/>
      <c r="D67" s="209" t="str" cm="1">
        <f t="array" ref="D67">IF(ISNUMBER(MATCH(A67,{7,30,35,58,87,90,96,97,98,131,142,155,164,177,210,215},0)), _xlfn.IFS(C67="","",C67=0,3,C67=1,2,C67=2,1,C67=3,0), IF(C67="","",C67))</f>
        <v/>
      </c>
      <c r="E67" s="33"/>
    </row>
    <row r="68" spans="1:5" x14ac:dyDescent="0.3">
      <c r="A68" s="155">
        <v>58</v>
      </c>
      <c r="B68" s="156" t="s">
        <v>477</v>
      </c>
      <c r="C68" s="176"/>
      <c r="D68" s="209" t="str" cm="1">
        <f t="array" ref="D68">IF(ISNUMBER(MATCH(A68,{7,30,35,58,87,90,96,97,98,131,142,155,164,177,210,215},0)), _xlfn.IFS(C68="","",C68=0,3,C68=1,2,C68=2,1,C68=3,0), IF(C68="","",C68))</f>
        <v/>
      </c>
      <c r="E68" s="33"/>
    </row>
    <row r="69" spans="1:5" x14ac:dyDescent="0.3">
      <c r="A69" s="149">
        <v>59</v>
      </c>
      <c r="B69" s="33" t="s">
        <v>478</v>
      </c>
      <c r="C69" s="175"/>
      <c r="D69" s="209" t="str" cm="1">
        <f t="array" ref="D69">IF(ISNUMBER(MATCH(A69,{7,30,35,58,87,90,96,97,98,131,142,155,164,177,210,215},0)), _xlfn.IFS(C69="","",C69=0,3,C69=1,2,C69=2,1,C69=3,0), IF(C69="","",C69))</f>
        <v/>
      </c>
      <c r="E69" s="33"/>
    </row>
    <row r="70" spans="1:5" x14ac:dyDescent="0.3">
      <c r="A70" s="155">
        <v>60</v>
      </c>
      <c r="B70" s="156" t="s">
        <v>479</v>
      </c>
      <c r="C70" s="176"/>
      <c r="D70" s="209" t="str" cm="1">
        <f t="array" ref="D70">IF(ISNUMBER(MATCH(A70,{7,30,35,58,87,90,96,97,98,131,142,155,164,177,210,215},0)), _xlfn.IFS(C70="","",C70=0,3,C70=1,2,C70=2,1,C70=3,0), IF(C70="","",C70))</f>
        <v/>
      </c>
      <c r="E70" s="33"/>
    </row>
    <row r="71" spans="1:5" x14ac:dyDescent="0.3">
      <c r="A71" s="149">
        <v>61</v>
      </c>
      <c r="B71" s="33" t="s">
        <v>480</v>
      </c>
      <c r="C71" s="175"/>
      <c r="D71" s="209" t="str" cm="1">
        <f t="array" ref="D71">IF(ISNUMBER(MATCH(A71,{7,30,35,58,87,90,96,97,98,131,142,155,164,177,210,215},0)), _xlfn.IFS(C71="","",C71=0,3,C71=1,2,C71=2,1,C71=3,0), IF(C71="","",C71))</f>
        <v/>
      </c>
      <c r="E71" s="33"/>
    </row>
    <row r="72" spans="1:5" x14ac:dyDescent="0.3">
      <c r="A72" s="155">
        <v>62</v>
      </c>
      <c r="B72" s="156" t="s">
        <v>481</v>
      </c>
      <c r="C72" s="176"/>
      <c r="D72" s="209" t="str" cm="1">
        <f t="array" ref="D72">IF(ISNUMBER(MATCH(A72,{7,30,35,58,87,90,96,97,98,131,142,155,164,177,210,215},0)), _xlfn.IFS(C72="","",C72=0,3,C72=1,2,C72=2,1,C72=3,0), IF(C72="","",C72))</f>
        <v/>
      </c>
      <c r="E72" s="33"/>
    </row>
    <row r="73" spans="1:5" x14ac:dyDescent="0.3">
      <c r="A73" s="149">
        <v>63</v>
      </c>
      <c r="B73" s="33" t="s">
        <v>482</v>
      </c>
      <c r="C73" s="175"/>
      <c r="D73" s="209" t="str" cm="1">
        <f t="array" ref="D73">IF(ISNUMBER(MATCH(A73,{7,30,35,58,87,90,96,97,98,131,142,155,164,177,210,215},0)), _xlfn.IFS(C73="","",C73=0,3,C73=1,2,C73=2,1,C73=3,0), IF(C73="","",C73))</f>
        <v/>
      </c>
      <c r="E73" s="33"/>
    </row>
    <row r="74" spans="1:5" x14ac:dyDescent="0.3">
      <c r="A74" s="155">
        <v>64</v>
      </c>
      <c r="B74" s="156" t="s">
        <v>483</v>
      </c>
      <c r="C74" s="176"/>
      <c r="D74" s="209" t="str" cm="1">
        <f t="array" ref="D74">IF(ISNUMBER(MATCH(A74,{7,30,35,58,87,90,96,97,98,131,142,155,164,177,210,215},0)), _xlfn.IFS(C74="","",C74=0,3,C74=1,2,C74=2,1,C74=3,0), IF(C74="","",C74))</f>
        <v/>
      </c>
      <c r="E74" s="33"/>
    </row>
    <row r="75" spans="1:5" x14ac:dyDescent="0.3">
      <c r="A75" s="149">
        <v>65</v>
      </c>
      <c r="B75" s="33" t="s">
        <v>484</v>
      </c>
      <c r="C75" s="175"/>
      <c r="D75" s="209" t="str" cm="1">
        <f t="array" ref="D75">IF(ISNUMBER(MATCH(A75,{7,30,35,58,87,90,96,97,98,131,142,155,164,177,210,215},0)), _xlfn.IFS(C75="","",C75=0,3,C75=1,2,C75=2,1,C75=3,0), IF(C75="","",C75))</f>
        <v/>
      </c>
      <c r="E75" s="33"/>
    </row>
    <row r="76" spans="1:5" x14ac:dyDescent="0.3">
      <c r="A76" s="155">
        <v>66</v>
      </c>
      <c r="B76" s="156" t="s">
        <v>485</v>
      </c>
      <c r="C76" s="176"/>
      <c r="D76" s="209" t="str" cm="1">
        <f t="array" ref="D76">IF(ISNUMBER(MATCH(A76,{7,30,35,58,87,90,96,97,98,131,142,155,164,177,210,215},0)), _xlfn.IFS(C76="","",C76=0,3,C76=1,2,C76=2,1,C76=3,0), IF(C76="","",C76))</f>
        <v/>
      </c>
      <c r="E76" s="33"/>
    </row>
    <row r="77" spans="1:5" x14ac:dyDescent="0.3">
      <c r="A77" s="149">
        <v>67</v>
      </c>
      <c r="B77" s="33" t="s">
        <v>486</v>
      </c>
      <c r="C77" s="175"/>
      <c r="D77" s="209" t="str" cm="1">
        <f t="array" ref="D77">IF(ISNUMBER(MATCH(A77,{7,30,35,58,87,90,96,97,98,131,142,155,164,177,210,215},0)), _xlfn.IFS(C77="","",C77=0,3,C77=1,2,C77=2,1,C77=3,0), IF(C77="","",C77))</f>
        <v/>
      </c>
      <c r="E77" s="33"/>
    </row>
    <row r="78" spans="1:5" x14ac:dyDescent="0.3">
      <c r="A78" s="155">
        <v>68</v>
      </c>
      <c r="B78" s="156" t="s">
        <v>487</v>
      </c>
      <c r="C78" s="176"/>
      <c r="D78" s="209" t="str" cm="1">
        <f t="array" ref="D78">IF(ISNUMBER(MATCH(A78,{7,30,35,58,87,90,96,97,98,131,142,155,164,177,210,215},0)), _xlfn.IFS(C78="","",C78=0,3,C78=1,2,C78=2,1,C78=3,0), IF(C78="","",C78))</f>
        <v/>
      </c>
      <c r="E78" s="33"/>
    </row>
    <row r="79" spans="1:5" x14ac:dyDescent="0.3">
      <c r="A79" s="149">
        <v>69</v>
      </c>
      <c r="B79" s="33" t="s">
        <v>488</v>
      </c>
      <c r="C79" s="175"/>
      <c r="D79" s="209" t="str" cm="1">
        <f t="array" ref="D79">IF(ISNUMBER(MATCH(A79,{7,30,35,58,87,90,96,97,98,131,142,155,164,177,210,215},0)), _xlfn.IFS(C79="","",C79=0,3,C79=1,2,C79=2,1,C79=3,0), IF(C79="","",C79))</f>
        <v/>
      </c>
      <c r="E79" s="33"/>
    </row>
    <row r="80" spans="1:5" x14ac:dyDescent="0.3">
      <c r="A80" s="155">
        <v>70</v>
      </c>
      <c r="B80" s="156" t="s">
        <v>489</v>
      </c>
      <c r="C80" s="176"/>
      <c r="D80" s="209" t="str" cm="1">
        <f t="array" ref="D80">IF(ISNUMBER(MATCH(A80,{7,30,35,58,87,90,96,97,98,131,142,155,164,177,210,215},0)), _xlfn.IFS(C80="","",C80=0,3,C80=1,2,C80=2,1,C80=3,0), IF(C80="","",C80))</f>
        <v/>
      </c>
      <c r="E80" s="33"/>
    </row>
    <row r="81" spans="1:5" x14ac:dyDescent="0.3">
      <c r="A81" s="149">
        <v>71</v>
      </c>
      <c r="B81" s="33" t="s">
        <v>490</v>
      </c>
      <c r="C81" s="175"/>
      <c r="D81" s="209" t="str" cm="1">
        <f t="array" ref="D81">IF(ISNUMBER(MATCH(A81,{7,30,35,58,87,90,96,97,98,131,142,155,164,177,210,215},0)), _xlfn.IFS(C81="","",C81=0,3,C81=1,2,C81=2,1,C81=3,0), IF(C81="","",C81))</f>
        <v/>
      </c>
      <c r="E81" s="33"/>
    </row>
    <row r="82" spans="1:5" x14ac:dyDescent="0.3">
      <c r="A82" s="155">
        <v>72</v>
      </c>
      <c r="B82" s="156" t="s">
        <v>491</v>
      </c>
      <c r="C82" s="176"/>
      <c r="D82" s="209" t="str" cm="1">
        <f t="array" ref="D82">IF(ISNUMBER(MATCH(A82,{7,30,35,58,87,90,96,97,98,131,142,155,164,177,210,215},0)), _xlfn.IFS(C82="","",C82=0,3,C82=1,2,C82=2,1,C82=3,0), IF(C82="","",C82))</f>
        <v/>
      </c>
      <c r="E82" s="33"/>
    </row>
    <row r="83" spans="1:5" x14ac:dyDescent="0.3">
      <c r="A83" s="149">
        <v>73</v>
      </c>
      <c r="B83" s="33" t="s">
        <v>492</v>
      </c>
      <c r="C83" s="175"/>
      <c r="D83" s="209" t="str" cm="1">
        <f t="array" ref="D83">IF(ISNUMBER(MATCH(A83,{7,30,35,58,87,90,96,97,98,131,142,155,164,177,210,215},0)), _xlfn.IFS(C83="","",C83=0,3,C83=1,2,C83=2,1,C83=3,0), IF(C83="","",C83))</f>
        <v/>
      </c>
      <c r="E83" s="33"/>
    </row>
    <row r="84" spans="1:5" x14ac:dyDescent="0.3">
      <c r="A84" s="155">
        <v>74</v>
      </c>
      <c r="B84" s="156" t="s">
        <v>493</v>
      </c>
      <c r="C84" s="176"/>
      <c r="D84" s="209" t="str" cm="1">
        <f t="array" ref="D84">IF(ISNUMBER(MATCH(A84,{7,30,35,58,87,90,96,97,98,131,142,155,164,177,210,215},0)), _xlfn.IFS(C84="","",C84=0,3,C84=1,2,C84=2,1,C84=3,0), IF(C84="","",C84))</f>
        <v/>
      </c>
      <c r="E84" s="33"/>
    </row>
    <row r="85" spans="1:5" x14ac:dyDescent="0.3">
      <c r="A85" s="149">
        <v>75</v>
      </c>
      <c r="B85" s="33" t="s">
        <v>494</v>
      </c>
      <c r="C85" s="175"/>
      <c r="D85" s="209" t="str" cm="1">
        <f t="array" ref="D85">IF(ISNUMBER(MATCH(A85,{7,30,35,58,87,90,96,97,98,131,142,155,164,177,210,215},0)), _xlfn.IFS(C85="","",C85=0,3,C85=1,2,C85=2,1,C85=3,0), IF(C85="","",C85))</f>
        <v/>
      </c>
      <c r="E85" s="33"/>
    </row>
    <row r="86" spans="1:5" x14ac:dyDescent="0.3">
      <c r="A86" s="155">
        <v>76</v>
      </c>
      <c r="B86" s="156" t="s">
        <v>495</v>
      </c>
      <c r="C86" s="176"/>
      <c r="D86" s="209" t="str" cm="1">
        <f t="array" ref="D86">IF(ISNUMBER(MATCH(A86,{7,30,35,58,87,90,96,97,98,131,142,155,164,177,210,215},0)), _xlfn.IFS(C86="","",C86=0,3,C86=1,2,C86=2,1,C86=3,0), IF(C86="","",C86))</f>
        <v/>
      </c>
      <c r="E86" s="33"/>
    </row>
    <row r="87" spans="1:5" x14ac:dyDescent="0.3">
      <c r="A87" s="149">
        <v>77</v>
      </c>
      <c r="B87" s="33" t="s">
        <v>496</v>
      </c>
      <c r="C87" s="175"/>
      <c r="D87" s="209" t="str" cm="1">
        <f t="array" ref="D87">IF(ISNUMBER(MATCH(A87,{7,30,35,58,87,90,96,97,98,131,142,155,164,177,210,215},0)), _xlfn.IFS(C87="","",C87=0,3,C87=1,2,C87=2,1,C87=3,0), IF(C87="","",C87))</f>
        <v/>
      </c>
      <c r="E87" s="33"/>
    </row>
    <row r="88" spans="1:5" x14ac:dyDescent="0.3">
      <c r="A88" s="155">
        <v>78</v>
      </c>
      <c r="B88" s="156" t="s">
        <v>497</v>
      </c>
      <c r="C88" s="176"/>
      <c r="D88" s="209" t="str" cm="1">
        <f t="array" ref="D88">IF(ISNUMBER(MATCH(A88,{7,30,35,58,87,90,96,97,98,131,142,155,164,177,210,215},0)), _xlfn.IFS(C88="","",C88=0,3,C88=1,2,C88=2,1,C88=3,0), IF(C88="","",C88))</f>
        <v/>
      </c>
      <c r="E88" s="33"/>
    </row>
    <row r="89" spans="1:5" x14ac:dyDescent="0.3">
      <c r="A89" s="149">
        <v>79</v>
      </c>
      <c r="B89" s="33" t="s">
        <v>498</v>
      </c>
      <c r="C89" s="175"/>
      <c r="D89" s="209" t="str" cm="1">
        <f t="array" ref="D89">IF(ISNUMBER(MATCH(A89,{7,30,35,58,87,90,96,97,98,131,142,155,164,177,210,215},0)), _xlfn.IFS(C89="","",C89=0,3,C89=1,2,C89=2,1,C89=3,0), IF(C89="","",C89))</f>
        <v/>
      </c>
      <c r="E89" s="33"/>
    </row>
    <row r="90" spans="1:5" x14ac:dyDescent="0.3">
      <c r="A90" s="155">
        <v>80</v>
      </c>
      <c r="B90" s="156" t="s">
        <v>499</v>
      </c>
      <c r="C90" s="176"/>
      <c r="D90" s="209" t="str" cm="1">
        <f t="array" ref="D90">IF(ISNUMBER(MATCH(A90,{7,30,35,58,87,90,96,97,98,131,142,155,164,177,210,215},0)), _xlfn.IFS(C90="","",C90=0,3,C90=1,2,C90=2,1,C90=3,0), IF(C90="","",C90))</f>
        <v/>
      </c>
      <c r="E90" s="33"/>
    </row>
    <row r="91" spans="1:5" x14ac:dyDescent="0.3">
      <c r="A91" s="149">
        <v>81</v>
      </c>
      <c r="B91" s="33" t="s">
        <v>500</v>
      </c>
      <c r="C91" s="175"/>
      <c r="D91" s="209" t="str" cm="1">
        <f t="array" ref="D91">IF(ISNUMBER(MATCH(A91,{7,30,35,58,87,90,96,97,98,131,142,155,164,177,210,215},0)), _xlfn.IFS(C91="","",C91=0,3,C91=1,2,C91=2,1,C91=3,0), IF(C91="","",C91))</f>
        <v/>
      </c>
      <c r="E91" s="33"/>
    </row>
    <row r="92" spans="1:5" x14ac:dyDescent="0.3">
      <c r="A92" s="155">
        <v>82</v>
      </c>
      <c r="B92" s="156" t="s">
        <v>501</v>
      </c>
      <c r="C92" s="176"/>
      <c r="D92" s="209" t="str" cm="1">
        <f t="array" ref="D92">IF(ISNUMBER(MATCH(A92,{7,30,35,58,87,90,96,97,98,131,142,155,164,177,210,215},0)), _xlfn.IFS(C92="","",C92=0,3,C92=1,2,C92=2,1,C92=3,0), IF(C92="","",C92))</f>
        <v/>
      </c>
      <c r="E92" s="33"/>
    </row>
    <row r="93" spans="1:5" x14ac:dyDescent="0.3">
      <c r="A93" s="149">
        <v>83</v>
      </c>
      <c r="B93" s="33" t="s">
        <v>502</v>
      </c>
      <c r="C93" s="175"/>
      <c r="D93" s="209" t="str" cm="1">
        <f t="array" ref="D93">IF(ISNUMBER(MATCH(A93,{7,30,35,58,87,90,96,97,98,131,142,155,164,177,210,215},0)), _xlfn.IFS(C93="","",C93=0,3,C93=1,2,C93=2,1,C93=3,0), IF(C93="","",C93))</f>
        <v/>
      </c>
      <c r="E93" s="33"/>
    </row>
    <row r="94" spans="1:5" x14ac:dyDescent="0.3">
      <c r="A94" s="155">
        <v>84</v>
      </c>
      <c r="B94" s="156" t="s">
        <v>503</v>
      </c>
      <c r="C94" s="176"/>
      <c r="D94" s="209" t="str" cm="1">
        <f t="array" ref="D94">IF(ISNUMBER(MATCH(A94,{7,30,35,58,87,90,96,97,98,131,142,155,164,177,210,215},0)), _xlfn.IFS(C94="","",C94=0,3,C94=1,2,C94=2,1,C94=3,0), IF(C94="","",C94))</f>
        <v/>
      </c>
      <c r="E94" s="33"/>
    </row>
    <row r="95" spans="1:5" x14ac:dyDescent="0.3">
      <c r="A95" s="149">
        <v>85</v>
      </c>
      <c r="B95" s="33" t="s">
        <v>504</v>
      </c>
      <c r="C95" s="175"/>
      <c r="D95" s="209" t="str" cm="1">
        <f t="array" ref="D95">IF(ISNUMBER(MATCH(A95,{7,30,35,58,87,90,96,97,98,131,142,155,164,177,210,215},0)), _xlfn.IFS(C95="","",C95=0,3,C95=1,2,C95=2,1,C95=3,0), IF(C95="","",C95))</f>
        <v/>
      </c>
      <c r="E95" s="33"/>
    </row>
    <row r="96" spans="1:5" x14ac:dyDescent="0.3">
      <c r="A96" s="155">
        <v>86</v>
      </c>
      <c r="B96" s="156" t="s">
        <v>505</v>
      </c>
      <c r="C96" s="176"/>
      <c r="D96" s="209" t="str" cm="1">
        <f t="array" ref="D96">IF(ISNUMBER(MATCH(A96,{7,30,35,58,87,90,96,97,98,131,142,155,164,177,210,215},0)), _xlfn.IFS(C96="","",C96=0,3,C96=1,2,C96=2,1,C96=3,0), IF(C96="","",C96))</f>
        <v/>
      </c>
      <c r="E96" s="33"/>
    </row>
    <row r="97" spans="1:5" x14ac:dyDescent="0.3">
      <c r="A97" s="149">
        <v>87</v>
      </c>
      <c r="B97" s="33" t="s">
        <v>506</v>
      </c>
      <c r="C97" s="175"/>
      <c r="D97" s="209" t="str" cm="1">
        <f t="array" ref="D97">IF(ISNUMBER(MATCH(A97,{7,30,35,58,87,90,96,97,98,131,142,155,164,177,210,215},0)), _xlfn.IFS(C97="","",C97=0,3,C97=1,2,C97=2,1,C97=3,0), IF(C97="","",C97))</f>
        <v/>
      </c>
      <c r="E97" s="33"/>
    </row>
    <row r="98" spans="1:5" x14ac:dyDescent="0.3">
      <c r="A98" s="155">
        <v>88</v>
      </c>
      <c r="B98" s="156" t="s">
        <v>507</v>
      </c>
      <c r="C98" s="176"/>
      <c r="D98" s="209" t="str" cm="1">
        <f t="array" ref="D98">IF(ISNUMBER(MATCH(A98,{7,30,35,58,87,90,96,97,98,131,142,155,164,177,210,215},0)), _xlfn.IFS(C98="","",C98=0,3,C98=1,2,C98=2,1,C98=3,0), IF(C98="","",C98))</f>
        <v/>
      </c>
      <c r="E98" s="33"/>
    </row>
    <row r="99" spans="1:5" x14ac:dyDescent="0.3">
      <c r="A99" s="149">
        <v>89</v>
      </c>
      <c r="B99" s="33" t="s">
        <v>508</v>
      </c>
      <c r="C99" s="175"/>
      <c r="D99" s="209" t="str" cm="1">
        <f t="array" ref="D99">IF(ISNUMBER(MATCH(A99,{7,30,35,58,87,90,96,97,98,131,142,155,164,177,210,215},0)), _xlfn.IFS(C99="","",C99=0,3,C99=1,2,C99=2,1,C99=3,0), IF(C99="","",C99))</f>
        <v/>
      </c>
      <c r="E99" s="33"/>
    </row>
    <row r="100" spans="1:5" x14ac:dyDescent="0.3">
      <c r="A100" s="155">
        <v>90</v>
      </c>
      <c r="B100" s="156" t="s">
        <v>509</v>
      </c>
      <c r="C100" s="176"/>
      <c r="D100" s="209" t="str" cm="1">
        <f t="array" ref="D100">IF(ISNUMBER(MATCH(A100,{7,30,35,58,87,90,96,97,98,131,142,155,164,177,210,215},0)), _xlfn.IFS(C100="","",C100=0,3,C100=1,2,C100=2,1,C100=3,0), IF(C100="","",C100))</f>
        <v/>
      </c>
      <c r="E100" s="33"/>
    </row>
    <row r="101" spans="1:5" x14ac:dyDescent="0.3">
      <c r="A101" s="149">
        <v>91</v>
      </c>
      <c r="B101" s="33" t="s">
        <v>510</v>
      </c>
      <c r="C101" s="175"/>
      <c r="D101" s="209" t="str" cm="1">
        <f t="array" ref="D101">IF(ISNUMBER(MATCH(A101,{7,30,35,58,87,90,96,97,98,131,142,155,164,177,210,215},0)), _xlfn.IFS(C101="","",C101=0,3,C101=1,2,C101=2,1,C101=3,0), IF(C101="","",C101))</f>
        <v/>
      </c>
      <c r="E101" s="33"/>
    </row>
    <row r="102" spans="1:5" x14ac:dyDescent="0.3">
      <c r="A102" s="155">
        <v>92</v>
      </c>
      <c r="B102" s="156" t="s">
        <v>511</v>
      </c>
      <c r="C102" s="176"/>
      <c r="D102" s="209" t="str" cm="1">
        <f t="array" ref="D102">IF(ISNUMBER(MATCH(A102,{7,30,35,58,87,90,96,97,98,131,142,155,164,177,210,215},0)), _xlfn.IFS(C102="","",C102=0,3,C102=1,2,C102=2,1,C102=3,0), IF(C102="","",C102))</f>
        <v/>
      </c>
      <c r="E102" s="33"/>
    </row>
    <row r="103" spans="1:5" x14ac:dyDescent="0.3">
      <c r="A103" s="149">
        <v>93</v>
      </c>
      <c r="B103" s="33" t="s">
        <v>512</v>
      </c>
      <c r="C103" s="175"/>
      <c r="D103" s="209" t="str" cm="1">
        <f t="array" ref="D103">IF(ISNUMBER(MATCH(A103,{7,30,35,58,87,90,96,97,98,131,142,155,164,177,210,215},0)), _xlfn.IFS(C103="","",C103=0,3,C103=1,2,C103=2,1,C103=3,0), IF(C103="","",C103))</f>
        <v/>
      </c>
      <c r="E103" s="33"/>
    </row>
    <row r="104" spans="1:5" x14ac:dyDescent="0.3">
      <c r="A104" s="155">
        <v>94</v>
      </c>
      <c r="B104" s="156" t="s">
        <v>513</v>
      </c>
      <c r="C104" s="176"/>
      <c r="D104" s="209" t="str" cm="1">
        <f t="array" ref="D104">IF(ISNUMBER(MATCH(A104,{7,30,35,58,87,90,96,97,98,131,142,155,164,177,210,215},0)), _xlfn.IFS(C104="","",C104=0,3,C104=1,2,C104=2,1,C104=3,0), IF(C104="","",C104))</f>
        <v/>
      </c>
      <c r="E104" s="33"/>
    </row>
    <row r="105" spans="1:5" x14ac:dyDescent="0.3">
      <c r="A105" s="149">
        <v>95</v>
      </c>
      <c r="B105" s="33" t="s">
        <v>514</v>
      </c>
      <c r="C105" s="175"/>
      <c r="D105" s="209" t="str" cm="1">
        <f t="array" ref="D105">IF(ISNUMBER(MATCH(A105,{7,30,35,58,87,90,96,97,98,131,142,155,164,177,210,215},0)), _xlfn.IFS(C105="","",C105=0,3,C105=1,2,C105=2,1,C105=3,0), IF(C105="","",C105))</f>
        <v/>
      </c>
      <c r="E105" s="33"/>
    </row>
    <row r="106" spans="1:5" x14ac:dyDescent="0.3">
      <c r="A106" s="155">
        <v>96</v>
      </c>
      <c r="B106" s="156" t="s">
        <v>515</v>
      </c>
      <c r="C106" s="176"/>
      <c r="D106" s="209" t="str" cm="1">
        <f t="array" ref="D106">IF(ISNUMBER(MATCH(A106,{7,30,35,58,87,90,96,97,98,131,142,155,164,177,210,215},0)), _xlfn.IFS(C106="","",C106=0,3,C106=1,2,C106=2,1,C106=3,0), IF(C106="","",C106))</f>
        <v/>
      </c>
      <c r="E106" s="33"/>
    </row>
    <row r="107" spans="1:5" x14ac:dyDescent="0.3">
      <c r="A107" s="149">
        <v>97</v>
      </c>
      <c r="B107" s="33" t="s">
        <v>516</v>
      </c>
      <c r="C107" s="175"/>
      <c r="D107" s="209" t="str" cm="1">
        <f t="array" ref="D107">IF(ISNUMBER(MATCH(A107,{7,30,35,58,87,90,96,97,98,131,142,155,164,177,210,215},0)), _xlfn.IFS(C107="","",C107=0,3,C107=1,2,C107=2,1,C107=3,0), IF(C107="","",C107))</f>
        <v/>
      </c>
      <c r="E107" s="33"/>
    </row>
    <row r="108" spans="1:5" x14ac:dyDescent="0.3">
      <c r="A108" s="155">
        <v>98</v>
      </c>
      <c r="B108" s="156" t="s">
        <v>517</v>
      </c>
      <c r="C108" s="176"/>
      <c r="D108" s="209" t="str" cm="1">
        <f t="array" ref="D108">IF(ISNUMBER(MATCH(A108,{7,30,35,58,87,90,96,97,98,131,142,155,164,177,210,215},0)), _xlfn.IFS(C108="","",C108=0,3,C108=1,2,C108=2,1,C108=3,0), IF(C108="","",C108))</f>
        <v/>
      </c>
      <c r="E108" s="33"/>
    </row>
    <row r="109" spans="1:5" x14ac:dyDescent="0.3">
      <c r="A109" s="149">
        <v>99</v>
      </c>
      <c r="B109" s="33" t="s">
        <v>518</v>
      </c>
      <c r="C109" s="175"/>
      <c r="D109" s="209" t="str" cm="1">
        <f t="array" ref="D109">IF(ISNUMBER(MATCH(A109,{7,30,35,58,87,90,96,97,98,131,142,155,164,177,210,215},0)), _xlfn.IFS(C109="","",C109=0,3,C109=1,2,C109=2,1,C109=3,0), IF(C109="","",C109))</f>
        <v/>
      </c>
      <c r="E109" s="33"/>
    </row>
    <row r="110" spans="1:5" x14ac:dyDescent="0.3">
      <c r="A110" s="155">
        <v>100</v>
      </c>
      <c r="B110" s="156" t="s">
        <v>519</v>
      </c>
      <c r="C110" s="176"/>
      <c r="D110" s="209" t="str" cm="1">
        <f t="array" ref="D110">IF(ISNUMBER(MATCH(A110,{7,30,35,58,87,90,96,97,98,131,142,155,164,177,210,215},0)), _xlfn.IFS(C110="","",C110=0,3,C110=1,2,C110=2,1,C110=3,0), IF(C110="","",C110))</f>
        <v/>
      </c>
      <c r="E110" s="33"/>
    </row>
    <row r="111" spans="1:5" x14ac:dyDescent="0.3">
      <c r="A111" s="149">
        <v>101</v>
      </c>
      <c r="B111" s="33" t="s">
        <v>520</v>
      </c>
      <c r="C111" s="175"/>
      <c r="D111" s="209" t="str" cm="1">
        <f t="array" ref="D111">IF(ISNUMBER(MATCH(A111,{7,30,35,58,87,90,96,97,98,131,142,155,164,177,210,215},0)), _xlfn.IFS(C111="","",C111=0,3,C111=1,2,C111=2,1,C111=3,0), IF(C111="","",C111))</f>
        <v/>
      </c>
      <c r="E111" s="33"/>
    </row>
    <row r="112" spans="1:5" x14ac:dyDescent="0.3">
      <c r="A112" s="155">
        <v>102</v>
      </c>
      <c r="B112" s="156" t="s">
        <v>521</v>
      </c>
      <c r="C112" s="176"/>
      <c r="D112" s="209" t="str" cm="1">
        <f t="array" ref="D112">IF(ISNUMBER(MATCH(A112,{7,30,35,58,87,90,96,97,98,131,142,155,164,177,210,215},0)), _xlfn.IFS(C112="","",C112=0,3,C112=1,2,C112=2,1,C112=3,0), IF(C112="","",C112))</f>
        <v/>
      </c>
      <c r="E112" s="33"/>
    </row>
    <row r="113" spans="1:5" x14ac:dyDescent="0.3">
      <c r="A113" s="149">
        <v>103</v>
      </c>
      <c r="B113" s="33" t="s">
        <v>522</v>
      </c>
      <c r="C113" s="175"/>
      <c r="D113" s="209" t="str" cm="1">
        <f t="array" ref="D113">IF(ISNUMBER(MATCH(A113,{7,30,35,58,87,90,96,97,98,131,142,155,164,177,210,215},0)), _xlfn.IFS(C113="","",C113=0,3,C113=1,2,C113=2,1,C113=3,0), IF(C113="","",C113))</f>
        <v/>
      </c>
      <c r="E113" s="33"/>
    </row>
    <row r="114" spans="1:5" x14ac:dyDescent="0.3">
      <c r="A114" s="155">
        <v>104</v>
      </c>
      <c r="B114" s="156" t="s">
        <v>523</v>
      </c>
      <c r="C114" s="176"/>
      <c r="D114" s="209" t="str" cm="1">
        <f t="array" ref="D114">IF(ISNUMBER(MATCH(A114,{7,30,35,58,87,90,96,97,98,131,142,155,164,177,210,215},0)), _xlfn.IFS(C114="","",C114=0,3,C114=1,2,C114=2,1,C114=3,0), IF(C114="","",C114))</f>
        <v/>
      </c>
      <c r="E114" s="33"/>
    </row>
    <row r="115" spans="1:5" x14ac:dyDescent="0.3">
      <c r="A115" s="149">
        <v>105</v>
      </c>
      <c r="B115" s="33" t="s">
        <v>524</v>
      </c>
      <c r="C115" s="175"/>
      <c r="D115" s="209" t="str" cm="1">
        <f t="array" ref="D115">IF(ISNUMBER(MATCH(A115,{7,30,35,58,87,90,96,97,98,131,142,155,164,177,210,215},0)), _xlfn.IFS(C115="","",C115=0,3,C115=1,2,C115=2,1,C115=3,0), IF(C115="","",C115))</f>
        <v/>
      </c>
      <c r="E115" s="33"/>
    </row>
    <row r="116" spans="1:5" x14ac:dyDescent="0.3">
      <c r="A116" s="155">
        <v>106</v>
      </c>
      <c r="B116" s="156" t="s">
        <v>525</v>
      </c>
      <c r="C116" s="176"/>
      <c r="D116" s="209" t="str" cm="1">
        <f t="array" ref="D116">IF(ISNUMBER(MATCH(A116,{7,30,35,58,87,90,96,97,98,131,142,155,164,177,210,215},0)), _xlfn.IFS(C116="","",C116=0,3,C116=1,2,C116=2,1,C116=3,0), IF(C116="","",C116))</f>
        <v/>
      </c>
      <c r="E116" s="33"/>
    </row>
    <row r="117" spans="1:5" x14ac:dyDescent="0.3">
      <c r="A117" s="149">
        <v>107</v>
      </c>
      <c r="B117" s="33" t="s">
        <v>526</v>
      </c>
      <c r="C117" s="175"/>
      <c r="D117" s="209" t="str" cm="1">
        <f t="array" ref="D117">IF(ISNUMBER(MATCH(A117,{7,30,35,58,87,90,96,97,98,131,142,155,164,177,210,215},0)), _xlfn.IFS(C117="","",C117=0,3,C117=1,2,C117=2,1,C117=3,0), IF(C117="","",C117))</f>
        <v/>
      </c>
      <c r="E117" s="33"/>
    </row>
    <row r="118" spans="1:5" x14ac:dyDescent="0.3">
      <c r="A118" s="155">
        <v>108</v>
      </c>
      <c r="B118" s="156" t="s">
        <v>527</v>
      </c>
      <c r="C118" s="176"/>
      <c r="D118" s="209" t="str" cm="1">
        <f t="array" ref="D118">IF(ISNUMBER(MATCH(A118,{7,30,35,58,87,90,96,97,98,131,142,155,164,177,210,215},0)), _xlfn.IFS(C118="","",C118=0,3,C118=1,2,C118=2,1,C118=3,0), IF(C118="","",C118))</f>
        <v/>
      </c>
      <c r="E118" s="33"/>
    </row>
    <row r="119" spans="1:5" x14ac:dyDescent="0.3">
      <c r="A119" s="149">
        <v>109</v>
      </c>
      <c r="B119" s="33" t="s">
        <v>528</v>
      </c>
      <c r="C119" s="175"/>
      <c r="D119" s="209" t="str" cm="1">
        <f t="array" ref="D119">IF(ISNUMBER(MATCH(A119,{7,30,35,58,87,90,96,97,98,131,142,155,164,177,210,215},0)), _xlfn.IFS(C119="","",C119=0,3,C119=1,2,C119=2,1,C119=3,0), IF(C119="","",C119))</f>
        <v/>
      </c>
      <c r="E119" s="33"/>
    </row>
    <row r="120" spans="1:5" x14ac:dyDescent="0.3">
      <c r="A120" s="155">
        <v>110</v>
      </c>
      <c r="B120" s="156" t="s">
        <v>529</v>
      </c>
      <c r="C120" s="176"/>
      <c r="D120" s="209" t="str" cm="1">
        <f t="array" ref="D120">IF(ISNUMBER(MATCH(A120,{7,30,35,58,87,90,96,97,98,131,142,155,164,177,210,215},0)), _xlfn.IFS(C120="","",C120=0,3,C120=1,2,C120=2,1,C120=3,0), IF(C120="","",C120))</f>
        <v/>
      </c>
      <c r="E120" s="33"/>
    </row>
    <row r="121" spans="1:5" x14ac:dyDescent="0.3">
      <c r="A121" s="149">
        <v>111</v>
      </c>
      <c r="B121" s="33" t="s">
        <v>530</v>
      </c>
      <c r="C121" s="175"/>
      <c r="D121" s="209" t="str" cm="1">
        <f t="array" ref="D121">IF(ISNUMBER(MATCH(A121,{7,30,35,58,87,90,96,97,98,131,142,155,164,177,210,215},0)), _xlfn.IFS(C121="","",C121=0,3,C121=1,2,C121=2,1,C121=3,0), IF(C121="","",C121))</f>
        <v/>
      </c>
      <c r="E121" s="33"/>
    </row>
    <row r="122" spans="1:5" x14ac:dyDescent="0.3">
      <c r="A122" s="155">
        <v>112</v>
      </c>
      <c r="B122" s="156" t="s">
        <v>531</v>
      </c>
      <c r="C122" s="176"/>
      <c r="D122" s="209" t="str" cm="1">
        <f t="array" ref="D122">IF(ISNUMBER(MATCH(A122,{7,30,35,58,87,90,96,97,98,131,142,155,164,177,210,215},0)), _xlfn.IFS(C122="","",C122=0,3,C122=1,2,C122=2,1,C122=3,0), IF(C122="","",C122))</f>
        <v/>
      </c>
      <c r="E122" s="33"/>
    </row>
    <row r="123" spans="1:5" x14ac:dyDescent="0.3">
      <c r="A123" s="149">
        <v>113</v>
      </c>
      <c r="B123" s="33" t="s">
        <v>532</v>
      </c>
      <c r="C123" s="175"/>
      <c r="D123" s="209" t="str" cm="1">
        <f t="array" ref="D123">IF(ISNUMBER(MATCH(A123,{7,30,35,58,87,90,96,97,98,131,142,155,164,177,210,215},0)), _xlfn.IFS(C123="","",C123=0,3,C123=1,2,C123=2,1,C123=3,0), IF(C123="","",C123))</f>
        <v/>
      </c>
      <c r="E123" s="33"/>
    </row>
    <row r="124" spans="1:5" x14ac:dyDescent="0.3">
      <c r="A124" s="155">
        <v>114</v>
      </c>
      <c r="B124" s="156" t="s">
        <v>533</v>
      </c>
      <c r="C124" s="176"/>
      <c r="D124" s="209" t="str" cm="1">
        <f t="array" ref="D124">IF(ISNUMBER(MATCH(A124,{7,30,35,58,87,90,96,97,98,131,142,155,164,177,210,215},0)), _xlfn.IFS(C124="","",C124=0,3,C124=1,2,C124=2,1,C124=3,0), IF(C124="","",C124))</f>
        <v/>
      </c>
      <c r="E124" s="33"/>
    </row>
    <row r="125" spans="1:5" x14ac:dyDescent="0.3">
      <c r="A125" s="149">
        <v>115</v>
      </c>
      <c r="B125" s="33" t="s">
        <v>534</v>
      </c>
      <c r="C125" s="175"/>
      <c r="D125" s="209" t="str" cm="1">
        <f t="array" ref="D125">IF(ISNUMBER(MATCH(A125,{7,30,35,58,87,90,96,97,98,131,142,155,164,177,210,215},0)), _xlfn.IFS(C125="","",C125=0,3,C125=1,2,C125=2,1,C125=3,0), IF(C125="","",C125))</f>
        <v/>
      </c>
      <c r="E125" s="33"/>
    </row>
    <row r="126" spans="1:5" x14ac:dyDescent="0.3">
      <c r="A126" s="155">
        <v>116</v>
      </c>
      <c r="B126" s="156" t="s">
        <v>535</v>
      </c>
      <c r="C126" s="176"/>
      <c r="D126" s="209" t="str" cm="1">
        <f t="array" ref="D126">IF(ISNUMBER(MATCH(A126,{7,30,35,58,87,90,96,97,98,131,142,155,164,177,210,215},0)), _xlfn.IFS(C126="","",C126=0,3,C126=1,2,C126=2,1,C126=3,0), IF(C126="","",C126))</f>
        <v/>
      </c>
      <c r="E126" s="33"/>
    </row>
    <row r="127" spans="1:5" x14ac:dyDescent="0.3">
      <c r="A127" s="149">
        <v>117</v>
      </c>
      <c r="B127" s="33" t="s">
        <v>536</v>
      </c>
      <c r="C127" s="175"/>
      <c r="D127" s="209" t="str" cm="1">
        <f t="array" ref="D127">IF(ISNUMBER(MATCH(A127,{7,30,35,58,87,90,96,97,98,131,142,155,164,177,210,215},0)), _xlfn.IFS(C127="","",C127=0,3,C127=1,2,C127=2,1,C127=3,0), IF(C127="","",C127))</f>
        <v/>
      </c>
      <c r="E127" s="33"/>
    </row>
    <row r="128" spans="1:5" x14ac:dyDescent="0.3">
      <c r="A128" s="155">
        <v>118</v>
      </c>
      <c r="B128" s="156" t="s">
        <v>537</v>
      </c>
      <c r="C128" s="176"/>
      <c r="D128" s="209" t="str" cm="1">
        <f t="array" ref="D128">IF(ISNUMBER(MATCH(A128,{7,30,35,58,87,90,96,97,98,131,142,155,164,177,210,215},0)), _xlfn.IFS(C128="","",C128=0,3,C128=1,2,C128=2,1,C128=3,0), IF(C128="","",C128))</f>
        <v/>
      </c>
      <c r="E128" s="33"/>
    </row>
    <row r="129" spans="1:5" x14ac:dyDescent="0.3">
      <c r="A129" s="149">
        <v>119</v>
      </c>
      <c r="B129" s="33" t="s">
        <v>538</v>
      </c>
      <c r="C129" s="175"/>
      <c r="D129" s="209" t="str" cm="1">
        <f t="array" ref="D129">IF(ISNUMBER(MATCH(A129,{7,30,35,58,87,90,96,97,98,131,142,155,164,177,210,215},0)), _xlfn.IFS(C129="","",C129=0,3,C129=1,2,C129=2,1,C129=3,0), IF(C129="","",C129))</f>
        <v/>
      </c>
      <c r="E129" s="33"/>
    </row>
    <row r="130" spans="1:5" x14ac:dyDescent="0.3">
      <c r="A130" s="155">
        <v>120</v>
      </c>
      <c r="B130" s="156" t="s">
        <v>539</v>
      </c>
      <c r="C130" s="176"/>
      <c r="D130" s="209" t="str" cm="1">
        <f t="array" ref="D130">IF(ISNUMBER(MATCH(A130,{7,30,35,58,87,90,96,97,98,131,142,155,164,177,210,215},0)), _xlfn.IFS(C130="","",C130=0,3,C130=1,2,C130=2,1,C130=3,0), IF(C130="","",C130))</f>
        <v/>
      </c>
      <c r="E130" s="33"/>
    </row>
    <row r="131" spans="1:5" x14ac:dyDescent="0.3">
      <c r="A131" s="149">
        <v>121</v>
      </c>
      <c r="B131" s="33" t="s">
        <v>540</v>
      </c>
      <c r="C131" s="175"/>
      <c r="D131" s="209" t="str" cm="1">
        <f t="array" ref="D131">IF(ISNUMBER(MATCH(A131,{7,30,35,58,87,90,96,97,98,131,142,155,164,177,210,215},0)), _xlfn.IFS(C131="","",C131=0,3,C131=1,2,C131=2,1,C131=3,0), IF(C131="","",C131))</f>
        <v/>
      </c>
      <c r="E131" s="33"/>
    </row>
    <row r="132" spans="1:5" x14ac:dyDescent="0.3">
      <c r="A132" s="155">
        <v>122</v>
      </c>
      <c r="B132" s="156" t="s">
        <v>541</v>
      </c>
      <c r="C132" s="176"/>
      <c r="D132" s="209" t="str" cm="1">
        <f t="array" ref="D132">IF(ISNUMBER(MATCH(A132,{7,30,35,58,87,90,96,97,98,131,142,155,164,177,210,215},0)), _xlfn.IFS(C132="","",C132=0,3,C132=1,2,C132=2,1,C132=3,0), IF(C132="","",C132))</f>
        <v/>
      </c>
      <c r="E132" s="33"/>
    </row>
    <row r="133" spans="1:5" x14ac:dyDescent="0.3">
      <c r="A133" s="149">
        <v>123</v>
      </c>
      <c r="B133" s="33" t="s">
        <v>542</v>
      </c>
      <c r="C133" s="175"/>
      <c r="D133" s="209" t="str" cm="1">
        <f t="array" ref="D133">IF(ISNUMBER(MATCH(A133,{7,30,35,58,87,90,96,97,98,131,142,155,164,177,210,215},0)), _xlfn.IFS(C133="","",C133=0,3,C133=1,2,C133=2,1,C133=3,0), IF(C133="","",C133))</f>
        <v/>
      </c>
      <c r="E133" s="33"/>
    </row>
    <row r="134" spans="1:5" x14ac:dyDescent="0.3">
      <c r="A134" s="155">
        <v>124</v>
      </c>
      <c r="B134" s="156" t="s">
        <v>543</v>
      </c>
      <c r="C134" s="176"/>
      <c r="D134" s="209" t="str" cm="1">
        <f t="array" ref="D134">IF(ISNUMBER(MATCH(A134,{7,30,35,58,87,90,96,97,98,131,142,155,164,177,210,215},0)), _xlfn.IFS(C134="","",C134=0,3,C134=1,2,C134=2,1,C134=3,0), IF(C134="","",C134))</f>
        <v/>
      </c>
      <c r="E134" s="33"/>
    </row>
    <row r="135" spans="1:5" x14ac:dyDescent="0.3">
      <c r="A135" s="149">
        <v>125</v>
      </c>
      <c r="B135" s="33" t="s">
        <v>544</v>
      </c>
      <c r="C135" s="175"/>
      <c r="D135" s="209" t="str" cm="1">
        <f t="array" ref="D135">IF(ISNUMBER(MATCH(A135,{7,30,35,58,87,90,96,97,98,131,142,155,164,177,210,215},0)), _xlfn.IFS(C135="","",C135=0,3,C135=1,2,C135=2,1,C135=3,0), IF(C135="","",C135))</f>
        <v/>
      </c>
      <c r="E135" s="33"/>
    </row>
    <row r="136" spans="1:5" x14ac:dyDescent="0.3">
      <c r="A136" s="155">
        <v>126</v>
      </c>
      <c r="B136" s="156" t="s">
        <v>545</v>
      </c>
      <c r="C136" s="176"/>
      <c r="D136" s="209" t="str" cm="1">
        <f t="array" ref="D136">IF(ISNUMBER(MATCH(A136,{7,30,35,58,87,90,96,97,98,131,142,155,164,177,210,215},0)), _xlfn.IFS(C136="","",C136=0,3,C136=1,2,C136=2,1,C136=3,0), IF(C136="","",C136))</f>
        <v/>
      </c>
      <c r="E136" s="33"/>
    </row>
    <row r="137" spans="1:5" x14ac:dyDescent="0.3">
      <c r="A137" s="149">
        <v>127</v>
      </c>
      <c r="B137" s="33" t="s">
        <v>546</v>
      </c>
      <c r="C137" s="175"/>
      <c r="D137" s="209" t="str" cm="1">
        <f t="array" ref="D137">IF(ISNUMBER(MATCH(A137,{7,30,35,58,87,90,96,97,98,131,142,155,164,177,210,215},0)), _xlfn.IFS(C137="","",C137=0,3,C137=1,2,C137=2,1,C137=3,0), IF(C137="","",C137))</f>
        <v/>
      </c>
      <c r="E137" s="33"/>
    </row>
    <row r="138" spans="1:5" x14ac:dyDescent="0.3">
      <c r="A138" s="155">
        <v>128</v>
      </c>
      <c r="B138" s="156" t="s">
        <v>547</v>
      </c>
      <c r="C138" s="176"/>
      <c r="D138" s="209" t="str" cm="1">
        <f t="array" ref="D138">IF(ISNUMBER(MATCH(A138,{7,30,35,58,87,90,96,97,98,131,142,155,164,177,210,215},0)), _xlfn.IFS(C138="","",C138=0,3,C138=1,2,C138=2,1,C138=3,0), IF(C138="","",C138))</f>
        <v/>
      </c>
      <c r="E138" s="33"/>
    </row>
    <row r="139" spans="1:5" x14ac:dyDescent="0.3">
      <c r="A139" s="149">
        <v>129</v>
      </c>
      <c r="B139" s="33" t="s">
        <v>548</v>
      </c>
      <c r="C139" s="175"/>
      <c r="D139" s="209" t="str" cm="1">
        <f t="array" ref="D139">IF(ISNUMBER(MATCH(A139,{7,30,35,58,87,90,96,97,98,131,142,155,164,177,210,215},0)), _xlfn.IFS(C139="","",C139=0,3,C139=1,2,C139=2,1,C139=3,0), IF(C139="","",C139))</f>
        <v/>
      </c>
      <c r="E139" s="33"/>
    </row>
    <row r="140" spans="1:5" x14ac:dyDescent="0.3">
      <c r="A140" s="155">
        <v>130</v>
      </c>
      <c r="B140" s="156" t="s">
        <v>549</v>
      </c>
      <c r="C140" s="176"/>
      <c r="D140" s="209" t="str" cm="1">
        <f t="array" ref="D140">IF(ISNUMBER(MATCH(A140,{7,30,35,58,87,90,96,97,98,131,142,155,164,177,210,215},0)), _xlfn.IFS(C140="","",C140=0,3,C140=1,2,C140=2,1,C140=3,0), IF(C140="","",C140))</f>
        <v/>
      </c>
      <c r="E140" s="33"/>
    </row>
    <row r="141" spans="1:5" x14ac:dyDescent="0.3">
      <c r="A141" s="149">
        <v>131</v>
      </c>
      <c r="B141" s="33" t="s">
        <v>550</v>
      </c>
      <c r="C141" s="175"/>
      <c r="D141" s="209" t="str" cm="1">
        <f t="array" ref="D141">IF(ISNUMBER(MATCH(A141,{7,30,35,58,87,90,96,97,98,131,142,155,164,177,210,215},0)), _xlfn.IFS(C141="","",C141=0,3,C141=1,2,C141=2,1,C141=3,0), IF(C141="","",C141))</f>
        <v/>
      </c>
      <c r="E141" s="33"/>
    </row>
    <row r="142" spans="1:5" x14ac:dyDescent="0.3">
      <c r="A142" s="155">
        <v>132</v>
      </c>
      <c r="B142" s="156" t="s">
        <v>551</v>
      </c>
      <c r="C142" s="176"/>
      <c r="D142" s="209" t="str" cm="1">
        <f t="array" ref="D142">IF(ISNUMBER(MATCH(A142,{7,30,35,58,87,90,96,97,98,131,142,155,164,177,210,215},0)), _xlfn.IFS(C142="","",C142=0,3,C142=1,2,C142=2,1,C142=3,0), IF(C142="","",C142))</f>
        <v/>
      </c>
      <c r="E142" s="33"/>
    </row>
    <row r="143" spans="1:5" x14ac:dyDescent="0.3">
      <c r="A143" s="149">
        <v>133</v>
      </c>
      <c r="B143" s="33" t="s">
        <v>552</v>
      </c>
      <c r="C143" s="175"/>
      <c r="D143" s="209" t="str" cm="1">
        <f t="array" ref="D143">IF(ISNUMBER(MATCH(A143,{7,30,35,58,87,90,96,97,98,131,142,155,164,177,210,215},0)), _xlfn.IFS(C143="","",C143=0,3,C143=1,2,C143=2,1,C143=3,0), IF(C143="","",C143))</f>
        <v/>
      </c>
      <c r="E143" s="33"/>
    </row>
    <row r="144" spans="1:5" x14ac:dyDescent="0.3">
      <c r="A144" s="155">
        <v>134</v>
      </c>
      <c r="B144" s="156" t="s">
        <v>553</v>
      </c>
      <c r="C144" s="176"/>
      <c r="D144" s="209" t="str" cm="1">
        <f t="array" ref="D144">IF(ISNUMBER(MATCH(A144,{7,30,35,58,87,90,96,97,98,131,142,155,164,177,210,215},0)), _xlfn.IFS(C144="","",C144=0,3,C144=1,2,C144=2,1,C144=3,0), IF(C144="","",C144))</f>
        <v/>
      </c>
      <c r="E144" s="33"/>
    </row>
    <row r="145" spans="1:5" x14ac:dyDescent="0.3">
      <c r="A145" s="149">
        <v>135</v>
      </c>
      <c r="B145" s="33" t="s">
        <v>554</v>
      </c>
      <c r="C145" s="175"/>
      <c r="D145" s="209" t="str" cm="1">
        <f t="array" ref="D145">IF(ISNUMBER(MATCH(A145,{7,30,35,58,87,90,96,97,98,131,142,155,164,177,210,215},0)), _xlfn.IFS(C145="","",C145=0,3,C145=1,2,C145=2,1,C145=3,0), IF(C145="","",C145))</f>
        <v/>
      </c>
      <c r="E145" s="33"/>
    </row>
    <row r="146" spans="1:5" x14ac:dyDescent="0.3">
      <c r="A146" s="155">
        <v>136</v>
      </c>
      <c r="B146" s="156" t="s">
        <v>555</v>
      </c>
      <c r="C146" s="176"/>
      <c r="D146" s="209" t="str" cm="1">
        <f t="array" ref="D146">IF(ISNUMBER(MATCH(A146,{7,30,35,58,87,90,96,97,98,131,142,155,164,177,210,215},0)), _xlfn.IFS(C146="","",C146=0,3,C146=1,2,C146=2,1,C146=3,0), IF(C146="","",C146))</f>
        <v/>
      </c>
      <c r="E146" s="33"/>
    </row>
    <row r="147" spans="1:5" x14ac:dyDescent="0.3">
      <c r="A147" s="149">
        <v>137</v>
      </c>
      <c r="B147" s="33" t="s">
        <v>556</v>
      </c>
      <c r="C147" s="175"/>
      <c r="D147" s="209" t="str" cm="1">
        <f t="array" ref="D147">IF(ISNUMBER(MATCH(A147,{7,30,35,58,87,90,96,97,98,131,142,155,164,177,210,215},0)), _xlfn.IFS(C147="","",C147=0,3,C147=1,2,C147=2,1,C147=3,0), IF(C147="","",C147))</f>
        <v/>
      </c>
      <c r="E147" s="33"/>
    </row>
    <row r="148" spans="1:5" x14ac:dyDescent="0.3">
      <c r="A148" s="155">
        <v>138</v>
      </c>
      <c r="B148" s="156" t="s">
        <v>557</v>
      </c>
      <c r="C148" s="176"/>
      <c r="D148" s="209" t="str" cm="1">
        <f t="array" ref="D148">IF(ISNUMBER(MATCH(A148,{7,30,35,58,87,90,96,97,98,131,142,155,164,177,210,215},0)), _xlfn.IFS(C148="","",C148=0,3,C148=1,2,C148=2,1,C148=3,0), IF(C148="","",C148))</f>
        <v/>
      </c>
      <c r="E148" s="33"/>
    </row>
    <row r="149" spans="1:5" x14ac:dyDescent="0.3">
      <c r="A149" s="149">
        <v>139</v>
      </c>
      <c r="B149" s="33" t="s">
        <v>558</v>
      </c>
      <c r="C149" s="175"/>
      <c r="D149" s="209" t="str" cm="1">
        <f t="array" ref="D149">IF(ISNUMBER(MATCH(A149,{7,30,35,58,87,90,96,97,98,131,142,155,164,177,210,215},0)), _xlfn.IFS(C149="","",C149=0,3,C149=1,2,C149=2,1,C149=3,0), IF(C149="","",C149))</f>
        <v/>
      </c>
      <c r="E149" s="33"/>
    </row>
    <row r="150" spans="1:5" x14ac:dyDescent="0.3">
      <c r="A150" s="155">
        <v>140</v>
      </c>
      <c r="B150" s="156" t="s">
        <v>559</v>
      </c>
      <c r="C150" s="176"/>
      <c r="D150" s="209" t="str" cm="1">
        <f t="array" ref="D150">IF(ISNUMBER(MATCH(A150,{7,30,35,58,87,90,96,97,98,131,142,155,164,177,210,215},0)), _xlfn.IFS(C150="","",C150=0,3,C150=1,2,C150=2,1,C150=3,0), IF(C150="","",C150))</f>
        <v/>
      </c>
      <c r="E150" s="33"/>
    </row>
    <row r="151" spans="1:5" x14ac:dyDescent="0.3">
      <c r="A151" s="149">
        <v>141</v>
      </c>
      <c r="B151" s="33" t="s">
        <v>560</v>
      </c>
      <c r="C151" s="175"/>
      <c r="D151" s="209" t="str" cm="1">
        <f t="array" ref="D151">IF(ISNUMBER(MATCH(A151,{7,30,35,58,87,90,96,97,98,131,142,155,164,177,210,215},0)), _xlfn.IFS(C151="","",C151=0,3,C151=1,2,C151=2,1,C151=3,0), IF(C151="","",C151))</f>
        <v/>
      </c>
      <c r="E151" s="33"/>
    </row>
    <row r="152" spans="1:5" x14ac:dyDescent="0.3">
      <c r="A152" s="155">
        <v>142</v>
      </c>
      <c r="B152" s="156" t="s">
        <v>561</v>
      </c>
      <c r="C152" s="176"/>
      <c r="D152" s="209" t="str" cm="1">
        <f t="array" ref="D152">IF(ISNUMBER(MATCH(A152,{7,30,35,58,87,90,96,97,98,131,142,155,164,177,210,215},0)), _xlfn.IFS(C152="","",C152=0,3,C152=1,2,C152=2,1,C152=3,0), IF(C152="","",C152))</f>
        <v/>
      </c>
      <c r="E152" s="33"/>
    </row>
    <row r="153" spans="1:5" x14ac:dyDescent="0.3">
      <c r="A153" s="149">
        <v>143</v>
      </c>
      <c r="B153" s="33" t="s">
        <v>562</v>
      </c>
      <c r="C153" s="175"/>
      <c r="D153" s="209" t="str" cm="1">
        <f t="array" ref="D153">IF(ISNUMBER(MATCH(A153,{7,30,35,58,87,90,96,97,98,131,142,155,164,177,210,215},0)), _xlfn.IFS(C153="","",C153=0,3,C153=1,2,C153=2,1,C153=3,0), IF(C153="","",C153))</f>
        <v/>
      </c>
      <c r="E153" s="33"/>
    </row>
    <row r="154" spans="1:5" x14ac:dyDescent="0.3">
      <c r="A154" s="155">
        <v>144</v>
      </c>
      <c r="B154" s="156" t="s">
        <v>563</v>
      </c>
      <c r="C154" s="176"/>
      <c r="D154" s="209" t="str" cm="1">
        <f t="array" ref="D154">IF(ISNUMBER(MATCH(A154,{7,30,35,58,87,90,96,97,98,131,142,155,164,177,210,215},0)), _xlfn.IFS(C154="","",C154=0,3,C154=1,2,C154=2,1,C154=3,0), IF(C154="","",C154))</f>
        <v/>
      </c>
      <c r="E154" s="33"/>
    </row>
    <row r="155" spans="1:5" x14ac:dyDescent="0.3">
      <c r="A155" s="149">
        <v>145</v>
      </c>
      <c r="B155" s="33" t="s">
        <v>564</v>
      </c>
      <c r="C155" s="175"/>
      <c r="D155" s="209" t="str" cm="1">
        <f t="array" ref="D155">IF(ISNUMBER(MATCH(A155,{7,30,35,58,87,90,96,97,98,131,142,155,164,177,210,215},0)), _xlfn.IFS(C155="","",C155=0,3,C155=1,2,C155=2,1,C155=3,0), IF(C155="","",C155))</f>
        <v/>
      </c>
      <c r="E155" s="33"/>
    </row>
    <row r="156" spans="1:5" x14ac:dyDescent="0.3">
      <c r="A156" s="155">
        <v>146</v>
      </c>
      <c r="B156" s="156" t="s">
        <v>565</v>
      </c>
      <c r="C156" s="176"/>
      <c r="D156" s="209" t="str" cm="1">
        <f t="array" ref="D156">IF(ISNUMBER(MATCH(A156,{7,30,35,58,87,90,96,97,98,131,142,155,164,177,210,215},0)), _xlfn.IFS(C156="","",C156=0,3,C156=1,2,C156=2,1,C156=3,0), IF(C156="","",C156))</f>
        <v/>
      </c>
      <c r="E156" s="33"/>
    </row>
    <row r="157" spans="1:5" x14ac:dyDescent="0.3">
      <c r="A157" s="149">
        <v>147</v>
      </c>
      <c r="B157" s="33" t="s">
        <v>566</v>
      </c>
      <c r="C157" s="175"/>
      <c r="D157" s="209" t="str" cm="1">
        <f t="array" ref="D157">IF(ISNUMBER(MATCH(A157,{7,30,35,58,87,90,96,97,98,131,142,155,164,177,210,215},0)), _xlfn.IFS(C157="","",C157=0,3,C157=1,2,C157=2,1,C157=3,0), IF(C157="","",C157))</f>
        <v/>
      </c>
      <c r="E157" s="33"/>
    </row>
    <row r="158" spans="1:5" x14ac:dyDescent="0.3">
      <c r="A158" s="155">
        <v>148</v>
      </c>
      <c r="B158" s="156" t="s">
        <v>567</v>
      </c>
      <c r="C158" s="176"/>
      <c r="D158" s="209" t="str" cm="1">
        <f t="array" ref="D158">IF(ISNUMBER(MATCH(A158,{7,30,35,58,87,90,96,97,98,131,142,155,164,177,210,215},0)), _xlfn.IFS(C158="","",C158=0,3,C158=1,2,C158=2,1,C158=3,0), IF(C158="","",C158))</f>
        <v/>
      </c>
      <c r="E158" s="33"/>
    </row>
    <row r="159" spans="1:5" x14ac:dyDescent="0.3">
      <c r="A159" s="149">
        <v>149</v>
      </c>
      <c r="B159" s="33" t="s">
        <v>568</v>
      </c>
      <c r="C159" s="175"/>
      <c r="D159" s="209" t="str" cm="1">
        <f t="array" ref="D159">IF(ISNUMBER(MATCH(A159,{7,30,35,58,87,90,96,97,98,131,142,155,164,177,210,215},0)), _xlfn.IFS(C159="","",C159=0,3,C159=1,2,C159=2,1,C159=3,0), IF(C159="","",C159))</f>
        <v/>
      </c>
      <c r="E159" s="33"/>
    </row>
    <row r="160" spans="1:5" x14ac:dyDescent="0.3">
      <c r="A160" s="155">
        <v>150</v>
      </c>
      <c r="B160" s="156" t="s">
        <v>569</v>
      </c>
      <c r="C160" s="176"/>
      <c r="D160" s="209" t="str" cm="1">
        <f t="array" ref="D160">IF(ISNUMBER(MATCH(A160,{7,30,35,58,87,90,96,97,98,131,142,155,164,177,210,215},0)), _xlfn.IFS(C160="","",C160=0,3,C160=1,2,C160=2,1,C160=3,0), IF(C160="","",C160))</f>
        <v/>
      </c>
      <c r="E160" s="33"/>
    </row>
    <row r="161" spans="1:5" x14ac:dyDescent="0.3">
      <c r="A161" s="149">
        <v>151</v>
      </c>
      <c r="B161" s="33" t="s">
        <v>570</v>
      </c>
      <c r="C161" s="175"/>
      <c r="D161" s="209" t="str" cm="1">
        <f t="array" ref="D161">IF(ISNUMBER(MATCH(A161,{7,30,35,58,87,90,96,97,98,131,142,155,164,177,210,215},0)), _xlfn.IFS(C161="","",C161=0,3,C161=1,2,C161=2,1,C161=3,0), IF(C161="","",C161))</f>
        <v/>
      </c>
      <c r="E161" s="33"/>
    </row>
    <row r="162" spans="1:5" x14ac:dyDescent="0.3">
      <c r="A162" s="155">
        <v>152</v>
      </c>
      <c r="B162" s="156" t="s">
        <v>571</v>
      </c>
      <c r="C162" s="176"/>
      <c r="D162" s="209" t="str" cm="1">
        <f t="array" ref="D162">IF(ISNUMBER(MATCH(A162,{7,30,35,58,87,90,96,97,98,131,142,155,164,177,210,215},0)), _xlfn.IFS(C162="","",C162=0,3,C162=1,2,C162=2,1,C162=3,0), IF(C162="","",C162))</f>
        <v/>
      </c>
      <c r="E162" s="33"/>
    </row>
    <row r="163" spans="1:5" x14ac:dyDescent="0.3">
      <c r="A163" s="149">
        <v>153</v>
      </c>
      <c r="B163" s="33" t="s">
        <v>572</v>
      </c>
      <c r="C163" s="175"/>
      <c r="D163" s="209" t="str" cm="1">
        <f t="array" ref="D163">IF(ISNUMBER(MATCH(A163,{7,30,35,58,87,90,96,97,98,131,142,155,164,177,210,215},0)), _xlfn.IFS(C163="","",C163=0,3,C163=1,2,C163=2,1,C163=3,0), IF(C163="","",C163))</f>
        <v/>
      </c>
      <c r="E163" s="33"/>
    </row>
    <row r="164" spans="1:5" x14ac:dyDescent="0.3">
      <c r="A164" s="155">
        <v>154</v>
      </c>
      <c r="B164" s="156" t="s">
        <v>573</v>
      </c>
      <c r="C164" s="176"/>
      <c r="D164" s="209" t="str" cm="1">
        <f t="array" ref="D164">IF(ISNUMBER(MATCH(A164,{7,30,35,58,87,90,96,97,98,131,142,155,164,177,210,215},0)), _xlfn.IFS(C164="","",C164=0,3,C164=1,2,C164=2,1,C164=3,0), IF(C164="","",C164))</f>
        <v/>
      </c>
      <c r="E164" s="33"/>
    </row>
    <row r="165" spans="1:5" x14ac:dyDescent="0.3">
      <c r="A165" s="149">
        <v>155</v>
      </c>
      <c r="B165" s="33" t="s">
        <v>574</v>
      </c>
      <c r="C165" s="175"/>
      <c r="D165" s="209" t="str" cm="1">
        <f t="array" ref="D165">IF(ISNUMBER(MATCH(A165,{7,30,35,58,87,90,96,97,98,131,142,155,164,177,210,215},0)), _xlfn.IFS(C165="","",C165=0,3,C165=1,2,C165=2,1,C165=3,0), IF(C165="","",C165))</f>
        <v/>
      </c>
      <c r="E165" s="33"/>
    </row>
    <row r="166" spans="1:5" x14ac:dyDescent="0.3">
      <c r="A166" s="155">
        <v>156</v>
      </c>
      <c r="B166" s="156" t="s">
        <v>575</v>
      </c>
      <c r="C166" s="176"/>
      <c r="D166" s="209" t="str" cm="1">
        <f t="array" ref="D166">IF(ISNUMBER(MATCH(A166,{7,30,35,58,87,90,96,97,98,131,142,155,164,177,210,215},0)), _xlfn.IFS(C166="","",C166=0,3,C166=1,2,C166=2,1,C166=3,0), IF(C166="","",C166))</f>
        <v/>
      </c>
      <c r="E166" s="33"/>
    </row>
    <row r="167" spans="1:5" x14ac:dyDescent="0.3">
      <c r="A167" s="149">
        <v>157</v>
      </c>
      <c r="B167" s="33" t="s">
        <v>576</v>
      </c>
      <c r="C167" s="175"/>
      <c r="D167" s="209" t="str" cm="1">
        <f t="array" ref="D167">IF(ISNUMBER(MATCH(A167,{7,30,35,58,87,90,96,97,98,131,142,155,164,177,210,215},0)), _xlfn.IFS(C167="","",C167=0,3,C167=1,2,C167=2,1,C167=3,0), IF(C167="","",C167))</f>
        <v/>
      </c>
      <c r="E167" s="33"/>
    </row>
    <row r="168" spans="1:5" x14ac:dyDescent="0.3">
      <c r="A168" s="155">
        <v>158</v>
      </c>
      <c r="B168" s="156" t="s">
        <v>577</v>
      </c>
      <c r="C168" s="176"/>
      <c r="D168" s="209" t="str" cm="1">
        <f t="array" ref="D168">IF(ISNUMBER(MATCH(A168,{7,30,35,58,87,90,96,97,98,131,142,155,164,177,210,215},0)), _xlfn.IFS(C168="","",C168=0,3,C168=1,2,C168=2,1,C168=3,0), IF(C168="","",C168))</f>
        <v/>
      </c>
      <c r="E168" s="33"/>
    </row>
    <row r="169" spans="1:5" x14ac:dyDescent="0.3">
      <c r="A169" s="149">
        <v>159</v>
      </c>
      <c r="B169" s="33" t="s">
        <v>578</v>
      </c>
      <c r="C169" s="175"/>
      <c r="D169" s="209" t="str" cm="1">
        <f t="array" ref="D169">IF(ISNUMBER(MATCH(A169,{7,30,35,58,87,90,96,97,98,131,142,155,164,177,210,215},0)), _xlfn.IFS(C169="","",C169=0,3,C169=1,2,C169=2,1,C169=3,0), IF(C169="","",C169))</f>
        <v/>
      </c>
      <c r="E169" s="33"/>
    </row>
    <row r="170" spans="1:5" x14ac:dyDescent="0.3">
      <c r="A170" s="155">
        <v>160</v>
      </c>
      <c r="B170" s="156" t="s">
        <v>579</v>
      </c>
      <c r="C170" s="176"/>
      <c r="D170" s="209" t="str" cm="1">
        <f t="array" ref="D170">IF(ISNUMBER(MATCH(A170,{7,30,35,58,87,90,96,97,98,131,142,155,164,177,210,215},0)), _xlfn.IFS(C170="","",C170=0,3,C170=1,2,C170=2,1,C170=3,0), IF(C170="","",C170))</f>
        <v/>
      </c>
      <c r="E170" s="33"/>
    </row>
    <row r="171" spans="1:5" x14ac:dyDescent="0.3">
      <c r="A171" s="149">
        <v>161</v>
      </c>
      <c r="B171" s="33" t="s">
        <v>580</v>
      </c>
      <c r="C171" s="175"/>
      <c r="D171" s="209" t="str" cm="1">
        <f t="array" ref="D171">IF(ISNUMBER(MATCH(A171,{7,30,35,58,87,90,96,97,98,131,142,155,164,177,210,215},0)), _xlfn.IFS(C171="","",C171=0,3,C171=1,2,C171=2,1,C171=3,0), IF(C171="","",C171))</f>
        <v/>
      </c>
      <c r="E171" s="33"/>
    </row>
    <row r="172" spans="1:5" x14ac:dyDescent="0.3">
      <c r="A172" s="155">
        <v>162</v>
      </c>
      <c r="B172" s="156" t="s">
        <v>581</v>
      </c>
      <c r="C172" s="176"/>
      <c r="D172" s="209" t="str" cm="1">
        <f t="array" ref="D172">IF(ISNUMBER(MATCH(A172,{7,30,35,58,87,90,96,97,98,131,142,155,164,177,210,215},0)), _xlfn.IFS(C172="","",C172=0,3,C172=1,2,C172=2,1,C172=3,0), IF(C172="","",C172))</f>
        <v/>
      </c>
      <c r="E172" s="33"/>
    </row>
    <row r="173" spans="1:5" x14ac:dyDescent="0.3">
      <c r="A173" s="149">
        <v>163</v>
      </c>
      <c r="B173" s="33" t="s">
        <v>582</v>
      </c>
      <c r="C173" s="175"/>
      <c r="D173" s="209" t="str" cm="1">
        <f t="array" ref="D173">IF(ISNUMBER(MATCH(A173,{7,30,35,58,87,90,96,97,98,131,142,155,164,177,210,215},0)), _xlfn.IFS(C173="","",C173=0,3,C173=1,2,C173=2,1,C173=3,0), IF(C173="","",C173))</f>
        <v/>
      </c>
      <c r="E173" s="33"/>
    </row>
    <row r="174" spans="1:5" x14ac:dyDescent="0.3">
      <c r="A174" s="155">
        <v>164</v>
      </c>
      <c r="B174" s="156" t="s">
        <v>583</v>
      </c>
      <c r="C174" s="176"/>
      <c r="D174" s="209" t="str" cm="1">
        <f t="array" ref="D174">IF(ISNUMBER(MATCH(A174,{7,30,35,58,87,90,96,97,98,131,142,155,164,177,210,215},0)), _xlfn.IFS(C174="","",C174=0,3,C174=1,2,C174=2,1,C174=3,0), IF(C174="","",C174))</f>
        <v/>
      </c>
      <c r="E174" s="33"/>
    </row>
    <row r="175" spans="1:5" x14ac:dyDescent="0.3">
      <c r="A175" s="149">
        <v>165</v>
      </c>
      <c r="B175" s="33" t="s">
        <v>584</v>
      </c>
      <c r="C175" s="175"/>
      <c r="D175" s="209" t="str" cm="1">
        <f t="array" ref="D175">IF(ISNUMBER(MATCH(A175,{7,30,35,58,87,90,96,97,98,131,142,155,164,177,210,215},0)), _xlfn.IFS(C175="","",C175=0,3,C175=1,2,C175=2,1,C175=3,0), IF(C175="","",C175))</f>
        <v/>
      </c>
      <c r="E175" s="33"/>
    </row>
    <row r="176" spans="1:5" x14ac:dyDescent="0.3">
      <c r="A176" s="155">
        <v>166</v>
      </c>
      <c r="B176" s="156" t="s">
        <v>585</v>
      </c>
      <c r="C176" s="176"/>
      <c r="D176" s="209" t="str" cm="1">
        <f t="array" ref="D176">IF(ISNUMBER(MATCH(A176,{7,30,35,58,87,90,96,97,98,131,142,155,164,177,210,215},0)), _xlfn.IFS(C176="","",C176=0,3,C176=1,2,C176=2,1,C176=3,0), IF(C176="","",C176))</f>
        <v/>
      </c>
      <c r="E176" s="33"/>
    </row>
    <row r="177" spans="1:5" x14ac:dyDescent="0.3">
      <c r="A177" s="149">
        <v>167</v>
      </c>
      <c r="B177" s="33" t="s">
        <v>586</v>
      </c>
      <c r="C177" s="175"/>
      <c r="D177" s="209" t="str" cm="1">
        <f t="array" ref="D177">IF(ISNUMBER(MATCH(A177,{7,30,35,58,87,90,96,97,98,131,142,155,164,177,210,215},0)), _xlfn.IFS(C177="","",C177=0,3,C177=1,2,C177=2,1,C177=3,0), IF(C177="","",C177))</f>
        <v/>
      </c>
      <c r="E177" s="33"/>
    </row>
    <row r="178" spans="1:5" x14ac:dyDescent="0.3">
      <c r="A178" s="155">
        <v>168</v>
      </c>
      <c r="B178" s="156" t="s">
        <v>587</v>
      </c>
      <c r="C178" s="176"/>
      <c r="D178" s="209" t="str" cm="1">
        <f t="array" ref="D178">IF(ISNUMBER(MATCH(A178,{7,30,35,58,87,90,96,97,98,131,142,155,164,177,210,215},0)), _xlfn.IFS(C178="","",C178=0,3,C178=1,2,C178=2,1,C178=3,0), IF(C178="","",C178))</f>
        <v/>
      </c>
      <c r="E178" s="33"/>
    </row>
    <row r="179" spans="1:5" x14ac:dyDescent="0.3">
      <c r="A179" s="149">
        <v>169</v>
      </c>
      <c r="B179" s="33" t="s">
        <v>588</v>
      </c>
      <c r="C179" s="175"/>
      <c r="D179" s="209" t="str" cm="1">
        <f t="array" ref="D179">IF(ISNUMBER(MATCH(A179,{7,30,35,58,87,90,96,97,98,131,142,155,164,177,210,215},0)), _xlfn.IFS(C179="","",C179=0,3,C179=1,2,C179=2,1,C179=3,0), IF(C179="","",C179))</f>
        <v/>
      </c>
      <c r="E179" s="33"/>
    </row>
    <row r="180" spans="1:5" x14ac:dyDescent="0.3">
      <c r="A180" s="155">
        <v>170</v>
      </c>
      <c r="B180" s="156" t="s">
        <v>589</v>
      </c>
      <c r="C180" s="176"/>
      <c r="D180" s="209" t="str" cm="1">
        <f t="array" ref="D180">IF(ISNUMBER(MATCH(A180,{7,30,35,58,87,90,96,97,98,131,142,155,164,177,210,215},0)), _xlfn.IFS(C180="","",C180=0,3,C180=1,2,C180=2,1,C180=3,0), IF(C180="","",C180))</f>
        <v/>
      </c>
      <c r="E180" s="33"/>
    </row>
    <row r="181" spans="1:5" x14ac:dyDescent="0.3">
      <c r="A181" s="149">
        <v>171</v>
      </c>
      <c r="B181" s="33" t="s">
        <v>590</v>
      </c>
      <c r="C181" s="175"/>
      <c r="D181" s="209" t="str" cm="1">
        <f t="array" ref="D181">IF(ISNUMBER(MATCH(A181,{7,30,35,58,87,90,96,97,98,131,142,155,164,177,210,215},0)), _xlfn.IFS(C181="","",C181=0,3,C181=1,2,C181=2,1,C181=3,0), IF(C181="","",C181))</f>
        <v/>
      </c>
      <c r="E181" s="33"/>
    </row>
    <row r="182" spans="1:5" x14ac:dyDescent="0.3">
      <c r="A182" s="155">
        <v>172</v>
      </c>
      <c r="B182" s="156" t="s">
        <v>591</v>
      </c>
      <c r="C182" s="176"/>
      <c r="D182" s="209" t="str" cm="1">
        <f t="array" ref="D182">IF(ISNUMBER(MATCH(A182,{7,30,35,58,87,90,96,97,98,131,142,155,164,177,210,215},0)), _xlfn.IFS(C182="","",C182=0,3,C182=1,2,C182=2,1,C182=3,0), IF(C182="","",C182))</f>
        <v/>
      </c>
      <c r="E182" s="33"/>
    </row>
    <row r="183" spans="1:5" x14ac:dyDescent="0.3">
      <c r="A183" s="149">
        <v>173</v>
      </c>
      <c r="B183" s="33" t="s">
        <v>592</v>
      </c>
      <c r="C183" s="175"/>
      <c r="D183" s="209" t="str" cm="1">
        <f t="array" ref="D183">IF(ISNUMBER(MATCH(A183,{7,30,35,58,87,90,96,97,98,131,142,155,164,177,210,215},0)), _xlfn.IFS(C183="","",C183=0,3,C183=1,2,C183=2,1,C183=3,0), IF(C183="","",C183))</f>
        <v/>
      </c>
      <c r="E183" s="33"/>
    </row>
    <row r="184" spans="1:5" x14ac:dyDescent="0.3">
      <c r="A184" s="155">
        <v>174</v>
      </c>
      <c r="B184" s="156" t="s">
        <v>593</v>
      </c>
      <c r="C184" s="176"/>
      <c r="D184" s="209" t="str" cm="1">
        <f t="array" ref="D184">IF(ISNUMBER(MATCH(A184,{7,30,35,58,87,90,96,97,98,131,142,155,164,177,210,215},0)), _xlfn.IFS(C184="","",C184=0,3,C184=1,2,C184=2,1,C184=3,0), IF(C184="","",C184))</f>
        <v/>
      </c>
      <c r="E184" s="33"/>
    </row>
    <row r="185" spans="1:5" x14ac:dyDescent="0.3">
      <c r="A185" s="149">
        <v>175</v>
      </c>
      <c r="B185" s="33" t="s">
        <v>594</v>
      </c>
      <c r="C185" s="175"/>
      <c r="D185" s="209" t="str" cm="1">
        <f t="array" ref="D185">IF(ISNUMBER(MATCH(A185,{7,30,35,58,87,90,96,97,98,131,142,155,164,177,210,215},0)), _xlfn.IFS(C185="","",C185=0,3,C185=1,2,C185=2,1,C185=3,0), IF(C185="","",C185))</f>
        <v/>
      </c>
      <c r="E185" s="33"/>
    </row>
    <row r="186" spans="1:5" x14ac:dyDescent="0.3">
      <c r="A186" s="155">
        <v>176</v>
      </c>
      <c r="B186" s="156" t="s">
        <v>595</v>
      </c>
      <c r="C186" s="176"/>
      <c r="D186" s="209" t="str" cm="1">
        <f t="array" ref="D186">IF(ISNUMBER(MATCH(A186,{7,30,35,58,87,90,96,97,98,131,142,155,164,177,210,215},0)), _xlfn.IFS(C186="","",C186=0,3,C186=1,2,C186=2,1,C186=3,0), IF(C186="","",C186))</f>
        <v/>
      </c>
      <c r="E186" s="33"/>
    </row>
    <row r="187" spans="1:5" x14ac:dyDescent="0.3">
      <c r="A187" s="149">
        <v>177</v>
      </c>
      <c r="B187" s="33" t="s">
        <v>596</v>
      </c>
      <c r="C187" s="175"/>
      <c r="D187" s="209" t="str" cm="1">
        <f t="array" ref="D187">IF(ISNUMBER(MATCH(A187,{7,30,35,58,87,90,96,97,98,131,142,155,164,177,210,215},0)), _xlfn.IFS(C187="","",C187=0,3,C187=1,2,C187=2,1,C187=3,0), IF(C187="","",C187))</f>
        <v/>
      </c>
      <c r="E187" s="33"/>
    </row>
    <row r="188" spans="1:5" x14ac:dyDescent="0.3">
      <c r="A188" s="155">
        <v>178</v>
      </c>
      <c r="B188" s="156" t="s">
        <v>597</v>
      </c>
      <c r="C188" s="176"/>
      <c r="D188" s="209" t="str" cm="1">
        <f t="array" ref="D188">IF(ISNUMBER(MATCH(A188,{7,30,35,58,87,90,96,97,98,131,142,155,164,177,210,215},0)), _xlfn.IFS(C188="","",C188=0,3,C188=1,2,C188=2,1,C188=3,0), IF(C188="","",C188))</f>
        <v/>
      </c>
      <c r="E188" s="33"/>
    </row>
    <row r="189" spans="1:5" x14ac:dyDescent="0.3">
      <c r="A189" s="149">
        <v>179</v>
      </c>
      <c r="B189" s="33" t="s">
        <v>598</v>
      </c>
      <c r="C189" s="175"/>
      <c r="D189" s="209" t="str" cm="1">
        <f t="array" ref="D189">IF(ISNUMBER(MATCH(A189,{7,30,35,58,87,90,96,97,98,131,142,155,164,177,210,215},0)), _xlfn.IFS(C189="","",C189=0,3,C189=1,2,C189=2,1,C189=3,0), IF(C189="","",C189))</f>
        <v/>
      </c>
      <c r="E189" s="33"/>
    </row>
    <row r="190" spans="1:5" x14ac:dyDescent="0.3">
      <c r="A190" s="155">
        <v>180</v>
      </c>
      <c r="B190" s="156" t="s">
        <v>599</v>
      </c>
      <c r="C190" s="176"/>
      <c r="D190" s="209" t="str" cm="1">
        <f t="array" ref="D190">IF(ISNUMBER(MATCH(A190,{7,30,35,58,87,90,96,97,98,131,142,155,164,177,210,215},0)), _xlfn.IFS(C190="","",C190=0,3,C190=1,2,C190=2,1,C190=3,0), IF(C190="","",C190))</f>
        <v/>
      </c>
      <c r="E190" s="33"/>
    </row>
    <row r="191" spans="1:5" x14ac:dyDescent="0.3">
      <c r="A191" s="149">
        <v>181</v>
      </c>
      <c r="B191" s="33" t="s">
        <v>600</v>
      </c>
      <c r="C191" s="175"/>
      <c r="D191" s="209" t="str" cm="1">
        <f t="array" ref="D191">IF(ISNUMBER(MATCH(A191,{7,30,35,58,87,90,96,97,98,131,142,155,164,177,210,215},0)), _xlfn.IFS(C191="","",C191=0,3,C191=1,2,C191=2,1,C191=3,0), IF(C191="","",C191))</f>
        <v/>
      </c>
      <c r="E191" s="33"/>
    </row>
    <row r="192" spans="1:5" x14ac:dyDescent="0.3">
      <c r="A192" s="155">
        <v>182</v>
      </c>
      <c r="B192" s="156" t="s">
        <v>601</v>
      </c>
      <c r="C192" s="176"/>
      <c r="D192" s="209" t="str" cm="1">
        <f t="array" ref="D192">IF(ISNUMBER(MATCH(A192,{7,30,35,58,87,90,96,97,98,131,142,155,164,177,210,215},0)), _xlfn.IFS(C192="","",C192=0,3,C192=1,2,C192=2,1,C192=3,0), IF(C192="","",C192))</f>
        <v/>
      </c>
      <c r="E192" s="33"/>
    </row>
    <row r="193" spans="1:5" x14ac:dyDescent="0.3">
      <c r="A193" s="149">
        <v>183</v>
      </c>
      <c r="B193" s="33" t="s">
        <v>602</v>
      </c>
      <c r="C193" s="175"/>
      <c r="D193" s="209" t="str" cm="1">
        <f t="array" ref="D193">IF(ISNUMBER(MATCH(A193,{7,30,35,58,87,90,96,97,98,131,142,155,164,177,210,215},0)), _xlfn.IFS(C193="","",C193=0,3,C193=1,2,C193=2,1,C193=3,0), IF(C193="","",C193))</f>
        <v/>
      </c>
      <c r="E193" s="33"/>
    </row>
    <row r="194" spans="1:5" x14ac:dyDescent="0.3">
      <c r="A194" s="155">
        <v>184</v>
      </c>
      <c r="B194" s="156" t="s">
        <v>603</v>
      </c>
      <c r="C194" s="176"/>
      <c r="D194" s="209" t="str" cm="1">
        <f t="array" ref="D194">IF(ISNUMBER(MATCH(A194,{7,30,35,58,87,90,96,97,98,131,142,155,164,177,210,215},0)), _xlfn.IFS(C194="","",C194=0,3,C194=1,2,C194=2,1,C194=3,0), IF(C194="","",C194))</f>
        <v/>
      </c>
      <c r="E194" s="33"/>
    </row>
    <row r="195" spans="1:5" x14ac:dyDescent="0.3">
      <c r="A195" s="149">
        <v>185</v>
      </c>
      <c r="B195" s="33" t="s">
        <v>604</v>
      </c>
      <c r="C195" s="175"/>
      <c r="D195" s="209" t="str" cm="1">
        <f t="array" ref="D195">IF(ISNUMBER(MATCH(A195,{7,30,35,58,87,90,96,97,98,131,142,155,164,177,210,215},0)), _xlfn.IFS(C195="","",C195=0,3,C195=1,2,C195=2,1,C195=3,0), IF(C195="","",C195))</f>
        <v/>
      </c>
      <c r="E195" s="33"/>
    </row>
    <row r="196" spans="1:5" x14ac:dyDescent="0.3">
      <c r="A196" s="155">
        <v>186</v>
      </c>
      <c r="B196" s="156" t="s">
        <v>605</v>
      </c>
      <c r="C196" s="176"/>
      <c r="D196" s="209" t="str" cm="1">
        <f t="array" ref="D196">IF(ISNUMBER(MATCH(A196,{7,30,35,58,87,90,96,97,98,131,142,155,164,177,210,215},0)), _xlfn.IFS(C196="","",C196=0,3,C196=1,2,C196=2,1,C196=3,0), IF(C196="","",C196))</f>
        <v/>
      </c>
      <c r="E196" s="33"/>
    </row>
    <row r="197" spans="1:5" x14ac:dyDescent="0.3">
      <c r="A197" s="149">
        <v>187</v>
      </c>
      <c r="B197" s="33" t="s">
        <v>606</v>
      </c>
      <c r="C197" s="175"/>
      <c r="D197" s="209" t="str" cm="1">
        <f t="array" ref="D197">IF(ISNUMBER(MATCH(A197,{7,30,35,58,87,90,96,97,98,131,142,155,164,177,210,215},0)), _xlfn.IFS(C197="","",C197=0,3,C197=1,2,C197=2,1,C197=3,0), IF(C197="","",C197))</f>
        <v/>
      </c>
      <c r="E197" s="33"/>
    </row>
    <row r="198" spans="1:5" x14ac:dyDescent="0.3">
      <c r="A198" s="155">
        <v>188</v>
      </c>
      <c r="B198" s="156" t="s">
        <v>607</v>
      </c>
      <c r="C198" s="176"/>
      <c r="D198" s="209" t="str" cm="1">
        <f t="array" ref="D198">IF(ISNUMBER(MATCH(A198,{7,30,35,58,87,90,96,97,98,131,142,155,164,177,210,215},0)), _xlfn.IFS(C198="","",C198=0,3,C198=1,2,C198=2,1,C198=3,0), IF(C198="","",C198))</f>
        <v/>
      </c>
      <c r="E198" s="33"/>
    </row>
    <row r="199" spans="1:5" x14ac:dyDescent="0.3">
      <c r="A199" s="149">
        <v>189</v>
      </c>
      <c r="B199" s="33" t="s">
        <v>608</v>
      </c>
      <c r="C199" s="175"/>
      <c r="D199" s="209" t="str" cm="1">
        <f t="array" ref="D199">IF(ISNUMBER(MATCH(A199,{7,30,35,58,87,90,96,97,98,131,142,155,164,177,210,215},0)), _xlfn.IFS(C199="","",C199=0,3,C199=1,2,C199=2,1,C199=3,0), IF(C199="","",C199))</f>
        <v/>
      </c>
      <c r="E199" s="33"/>
    </row>
    <row r="200" spans="1:5" x14ac:dyDescent="0.3">
      <c r="A200" s="155">
        <v>190</v>
      </c>
      <c r="B200" s="156" t="s">
        <v>609</v>
      </c>
      <c r="C200" s="176"/>
      <c r="D200" s="209" t="str" cm="1">
        <f t="array" ref="D200">IF(ISNUMBER(MATCH(A200,{7,30,35,58,87,90,96,97,98,131,142,155,164,177,210,215},0)), _xlfn.IFS(C200="","",C200=0,3,C200=1,2,C200=2,1,C200=3,0), IF(C200="","",C200))</f>
        <v/>
      </c>
      <c r="E200" s="33"/>
    </row>
    <row r="201" spans="1:5" x14ac:dyDescent="0.3">
      <c r="A201" s="149">
        <v>191</v>
      </c>
      <c r="B201" s="33" t="s">
        <v>610</v>
      </c>
      <c r="C201" s="175"/>
      <c r="D201" s="209" t="str" cm="1">
        <f t="array" ref="D201">IF(ISNUMBER(MATCH(A201,{7,30,35,58,87,90,96,97,98,131,142,155,164,177,210,215},0)), _xlfn.IFS(C201="","",C201=0,3,C201=1,2,C201=2,1,C201=3,0), IF(C201="","",C201))</f>
        <v/>
      </c>
      <c r="E201" s="33"/>
    </row>
    <row r="202" spans="1:5" x14ac:dyDescent="0.3">
      <c r="A202" s="155">
        <v>192</v>
      </c>
      <c r="B202" s="156" t="s">
        <v>611</v>
      </c>
      <c r="C202" s="176"/>
      <c r="D202" s="209" t="str" cm="1">
        <f t="array" ref="D202">IF(ISNUMBER(MATCH(A202,{7,30,35,58,87,90,96,97,98,131,142,155,164,177,210,215},0)), _xlfn.IFS(C202="","",C202=0,3,C202=1,2,C202=2,1,C202=3,0), IF(C202="","",C202))</f>
        <v/>
      </c>
      <c r="E202" s="33"/>
    </row>
    <row r="203" spans="1:5" x14ac:dyDescent="0.3">
      <c r="A203" s="149">
        <v>193</v>
      </c>
      <c r="B203" s="33" t="s">
        <v>612</v>
      </c>
      <c r="C203" s="175"/>
      <c r="D203" s="209" t="str" cm="1">
        <f t="array" ref="D203">IF(ISNUMBER(MATCH(A203,{7,30,35,58,87,90,96,97,98,131,142,155,164,177,210,215},0)), _xlfn.IFS(C203="","",C203=0,3,C203=1,2,C203=2,1,C203=3,0), IF(C203="","",C203))</f>
        <v/>
      </c>
      <c r="E203" s="33"/>
    </row>
    <row r="204" spans="1:5" x14ac:dyDescent="0.3">
      <c r="A204" s="155">
        <v>194</v>
      </c>
      <c r="B204" s="156" t="s">
        <v>613</v>
      </c>
      <c r="C204" s="176"/>
      <c r="D204" s="209" t="str" cm="1">
        <f t="array" ref="D204">IF(ISNUMBER(MATCH(A204,{7,30,35,58,87,90,96,97,98,131,142,155,164,177,210,215},0)), _xlfn.IFS(C204="","",C204=0,3,C204=1,2,C204=2,1,C204=3,0), IF(C204="","",C204))</f>
        <v/>
      </c>
      <c r="E204" s="33"/>
    </row>
    <row r="205" spans="1:5" x14ac:dyDescent="0.3">
      <c r="A205" s="149">
        <v>195</v>
      </c>
      <c r="B205" s="33" t="s">
        <v>614</v>
      </c>
      <c r="C205" s="175"/>
      <c r="D205" s="209" t="str" cm="1">
        <f t="array" ref="D205">IF(ISNUMBER(MATCH(A205,{7,30,35,58,87,90,96,97,98,131,142,155,164,177,210,215},0)), _xlfn.IFS(C205="","",C205=0,3,C205=1,2,C205=2,1,C205=3,0), IF(C205="","",C205))</f>
        <v/>
      </c>
      <c r="E205" s="33"/>
    </row>
    <row r="206" spans="1:5" x14ac:dyDescent="0.3">
      <c r="A206" s="155">
        <v>196</v>
      </c>
      <c r="B206" s="156" t="s">
        <v>615</v>
      </c>
      <c r="C206" s="176"/>
      <c r="D206" s="209" t="str" cm="1">
        <f t="array" ref="D206">IF(ISNUMBER(MATCH(A206,{7,30,35,58,87,90,96,97,98,131,142,155,164,177,210,215},0)), _xlfn.IFS(C206="","",C206=0,3,C206=1,2,C206=2,1,C206=3,0), IF(C206="","",C206))</f>
        <v/>
      </c>
      <c r="E206" s="33"/>
    </row>
    <row r="207" spans="1:5" x14ac:dyDescent="0.3">
      <c r="A207" s="149">
        <v>197</v>
      </c>
      <c r="B207" s="33" t="s">
        <v>616</v>
      </c>
      <c r="C207" s="175"/>
      <c r="D207" s="209" t="str" cm="1">
        <f t="array" ref="D207">IF(ISNUMBER(MATCH(A207,{7,30,35,58,87,90,96,97,98,131,142,155,164,177,210,215},0)), _xlfn.IFS(C207="","",C207=0,3,C207=1,2,C207=2,1,C207=3,0), IF(C207="","",C207))</f>
        <v/>
      </c>
      <c r="E207" s="33"/>
    </row>
    <row r="208" spans="1:5" x14ac:dyDescent="0.3">
      <c r="A208" s="155">
        <v>198</v>
      </c>
      <c r="B208" s="156" t="s">
        <v>617</v>
      </c>
      <c r="C208" s="176"/>
      <c r="D208" s="209" t="str" cm="1">
        <f t="array" ref="D208">IF(ISNUMBER(MATCH(A208,{7,30,35,58,87,90,96,97,98,131,142,155,164,177,210,215},0)), _xlfn.IFS(C208="","",C208=0,3,C208=1,2,C208=2,1,C208=3,0), IF(C208="","",C208))</f>
        <v/>
      </c>
      <c r="E208" s="33"/>
    </row>
    <row r="209" spans="1:5" x14ac:dyDescent="0.3">
      <c r="A209" s="149">
        <v>199</v>
      </c>
      <c r="B209" s="33" t="s">
        <v>618</v>
      </c>
      <c r="C209" s="175"/>
      <c r="D209" s="209" t="str" cm="1">
        <f t="array" ref="D209">IF(ISNUMBER(MATCH(A209,{7,30,35,58,87,90,96,97,98,131,142,155,164,177,210,215},0)), _xlfn.IFS(C209="","",C209=0,3,C209=1,2,C209=2,1,C209=3,0), IF(C209="","",C209))</f>
        <v/>
      </c>
      <c r="E209" s="33"/>
    </row>
    <row r="210" spans="1:5" x14ac:dyDescent="0.3">
      <c r="A210" s="155">
        <v>200</v>
      </c>
      <c r="B210" s="156" t="s">
        <v>619</v>
      </c>
      <c r="C210" s="176"/>
      <c r="D210" s="209" t="str" cm="1">
        <f t="array" ref="D210">IF(ISNUMBER(MATCH(A210,{7,30,35,58,87,90,96,97,98,131,142,155,164,177,210,215},0)), _xlfn.IFS(C210="","",C210=0,3,C210=1,2,C210=2,1,C210=3,0), IF(C210="","",C210))</f>
        <v/>
      </c>
      <c r="E210" s="33"/>
    </row>
    <row r="211" spans="1:5" x14ac:dyDescent="0.3">
      <c r="A211" s="149">
        <v>201</v>
      </c>
      <c r="B211" s="33" t="s">
        <v>620</v>
      </c>
      <c r="C211" s="175"/>
      <c r="D211" s="209" t="str" cm="1">
        <f t="array" ref="D211">IF(ISNUMBER(MATCH(A211,{7,30,35,58,87,90,96,97,98,131,142,155,164,177,210,215},0)), _xlfn.IFS(C211="","",C211=0,3,C211=1,2,C211=2,1,C211=3,0), IF(C211="","",C211))</f>
        <v/>
      </c>
      <c r="E211" s="33"/>
    </row>
    <row r="212" spans="1:5" x14ac:dyDescent="0.3">
      <c r="A212" s="155">
        <v>202</v>
      </c>
      <c r="B212" s="156" t="s">
        <v>621</v>
      </c>
      <c r="C212" s="176"/>
      <c r="D212" s="209" t="str" cm="1">
        <f t="array" ref="D212">IF(ISNUMBER(MATCH(A212,{7,30,35,58,87,90,96,97,98,131,142,155,164,177,210,215},0)), _xlfn.IFS(C212="","",C212=0,3,C212=1,2,C212=2,1,C212=3,0), IF(C212="","",C212))</f>
        <v/>
      </c>
      <c r="E212" s="33"/>
    </row>
    <row r="213" spans="1:5" x14ac:dyDescent="0.3">
      <c r="A213" s="149">
        <v>203</v>
      </c>
      <c r="B213" s="33" t="s">
        <v>622</v>
      </c>
      <c r="C213" s="175"/>
      <c r="D213" s="209" t="str" cm="1">
        <f t="array" ref="D213">IF(ISNUMBER(MATCH(A213,{7,30,35,58,87,90,96,97,98,131,142,155,164,177,210,215},0)), _xlfn.IFS(C213="","",C213=0,3,C213=1,2,C213=2,1,C213=3,0), IF(C213="","",C213))</f>
        <v/>
      </c>
      <c r="E213" s="33"/>
    </row>
    <row r="214" spans="1:5" x14ac:dyDescent="0.3">
      <c r="A214" s="155">
        <v>204</v>
      </c>
      <c r="B214" s="156" t="s">
        <v>623</v>
      </c>
      <c r="C214" s="176"/>
      <c r="D214" s="209" t="str" cm="1">
        <f t="array" ref="D214">IF(ISNUMBER(MATCH(A214,{7,30,35,58,87,90,96,97,98,131,142,155,164,177,210,215},0)), _xlfn.IFS(C214="","",C214=0,3,C214=1,2,C214=2,1,C214=3,0), IF(C214="","",C214))</f>
        <v/>
      </c>
      <c r="E214" s="33"/>
    </row>
    <row r="215" spans="1:5" x14ac:dyDescent="0.3">
      <c r="A215" s="149">
        <v>205</v>
      </c>
      <c r="B215" s="33" t="s">
        <v>624</v>
      </c>
      <c r="C215" s="175"/>
      <c r="D215" s="209" t="str" cm="1">
        <f t="array" ref="D215">IF(ISNUMBER(MATCH(A215,{7,30,35,58,87,90,96,97,98,131,142,155,164,177,210,215},0)), _xlfn.IFS(C215="","",C215=0,3,C215=1,2,C215=2,1,C215=3,0), IF(C215="","",C215))</f>
        <v/>
      </c>
      <c r="E215" s="33"/>
    </row>
    <row r="216" spans="1:5" x14ac:dyDescent="0.3">
      <c r="A216" s="155">
        <v>206</v>
      </c>
      <c r="B216" s="156" t="s">
        <v>625</v>
      </c>
      <c r="C216" s="176"/>
      <c r="D216" s="209" t="str" cm="1">
        <f t="array" ref="D216">IF(ISNUMBER(MATCH(A216,{7,30,35,58,87,90,96,97,98,131,142,155,164,177,210,215},0)), _xlfn.IFS(C216="","",C216=0,3,C216=1,2,C216=2,1,C216=3,0), IF(C216="","",C216))</f>
        <v/>
      </c>
      <c r="E216" s="33"/>
    </row>
    <row r="217" spans="1:5" x14ac:dyDescent="0.3">
      <c r="A217" s="149">
        <v>207</v>
      </c>
      <c r="B217" s="33" t="s">
        <v>626</v>
      </c>
      <c r="C217" s="175"/>
      <c r="D217" s="209" t="str" cm="1">
        <f t="array" ref="D217">IF(ISNUMBER(MATCH(A217,{7,30,35,58,87,90,96,97,98,131,142,155,164,177,210,215},0)), _xlfn.IFS(C217="","",C217=0,3,C217=1,2,C217=2,1,C217=3,0), IF(C217="","",C217))</f>
        <v/>
      </c>
      <c r="E217" s="33"/>
    </row>
    <row r="218" spans="1:5" x14ac:dyDescent="0.3">
      <c r="A218" s="155">
        <v>208</v>
      </c>
      <c r="B218" s="156" t="s">
        <v>627</v>
      </c>
      <c r="C218" s="176"/>
      <c r="D218" s="209" t="str" cm="1">
        <f t="array" ref="D218">IF(ISNUMBER(MATCH(A218,{7,30,35,58,87,90,96,97,98,131,142,155,164,177,210,215},0)), _xlfn.IFS(C218="","",C218=0,3,C218=1,2,C218=2,1,C218=3,0), IF(C218="","",C218))</f>
        <v/>
      </c>
      <c r="E218" s="33"/>
    </row>
    <row r="219" spans="1:5" x14ac:dyDescent="0.3">
      <c r="A219" s="149">
        <v>209</v>
      </c>
      <c r="B219" s="33" t="s">
        <v>628</v>
      </c>
      <c r="C219" s="175"/>
      <c r="D219" s="209" t="str" cm="1">
        <f t="array" ref="D219">IF(ISNUMBER(MATCH(A219,{7,30,35,58,87,90,96,97,98,131,142,155,164,177,210,215},0)), _xlfn.IFS(C219="","",C219=0,3,C219=1,2,C219=2,1,C219=3,0), IF(C219="","",C219))</f>
        <v/>
      </c>
      <c r="E219" s="33"/>
    </row>
    <row r="220" spans="1:5" x14ac:dyDescent="0.3">
      <c r="A220" s="155">
        <v>210</v>
      </c>
      <c r="B220" s="156" t="s">
        <v>629</v>
      </c>
      <c r="C220" s="176"/>
      <c r="D220" s="209" t="str" cm="1">
        <f t="array" ref="D220">IF(ISNUMBER(MATCH(A220,{7,30,35,58,87,90,96,97,98,131,142,155,164,177,210,215},0)), _xlfn.IFS(C220="","",C220=0,3,C220=1,2,C220=2,1,C220=3,0), IF(C220="","",C220))</f>
        <v/>
      </c>
      <c r="E220" s="33"/>
    </row>
    <row r="221" spans="1:5" x14ac:dyDescent="0.3">
      <c r="A221" s="149">
        <v>211</v>
      </c>
      <c r="B221" s="33" t="s">
        <v>630</v>
      </c>
      <c r="C221" s="175"/>
      <c r="D221" s="209" t="str" cm="1">
        <f t="array" ref="D221">IF(ISNUMBER(MATCH(A221,{7,30,35,58,87,90,96,97,98,131,142,155,164,177,210,215},0)), _xlfn.IFS(C221="","",C221=0,3,C221=1,2,C221=2,1,C221=3,0), IF(C221="","",C221))</f>
        <v/>
      </c>
      <c r="E221" s="33"/>
    </row>
    <row r="222" spans="1:5" x14ac:dyDescent="0.3">
      <c r="A222" s="155">
        <v>212</v>
      </c>
      <c r="B222" s="156" t="s">
        <v>631</v>
      </c>
      <c r="C222" s="176"/>
      <c r="D222" s="209" t="str" cm="1">
        <f t="array" ref="D222">IF(ISNUMBER(MATCH(A222,{7,30,35,58,87,90,96,97,98,131,142,155,164,177,210,215},0)), _xlfn.IFS(C222="","",C222=0,3,C222=1,2,C222=2,1,C222=3,0), IF(C222="","",C222))</f>
        <v/>
      </c>
      <c r="E222" s="33"/>
    </row>
    <row r="223" spans="1:5" x14ac:dyDescent="0.3">
      <c r="A223" s="149">
        <v>213</v>
      </c>
      <c r="B223" s="33" t="s">
        <v>632</v>
      </c>
      <c r="C223" s="175"/>
      <c r="D223" s="209" t="str" cm="1">
        <f t="array" ref="D223">IF(ISNUMBER(MATCH(A223,{7,30,35,58,87,90,96,97,98,131,142,155,164,177,210,215},0)), _xlfn.IFS(C223="","",C223=0,3,C223=1,2,C223=2,1,C223=3,0), IF(C223="","",C223))</f>
        <v/>
      </c>
      <c r="E223" s="33"/>
    </row>
    <row r="224" spans="1:5" x14ac:dyDescent="0.3">
      <c r="A224" s="155">
        <v>214</v>
      </c>
      <c r="B224" s="156" t="s">
        <v>633</v>
      </c>
      <c r="C224" s="176"/>
      <c r="D224" s="209" t="str" cm="1">
        <f t="array" ref="D224">IF(ISNUMBER(MATCH(A224,{7,30,35,58,87,90,96,97,98,131,142,155,164,177,210,215},0)), _xlfn.IFS(C224="","",C224=0,3,C224=1,2,C224=2,1,C224=3,0), IF(C224="","",C224))</f>
        <v/>
      </c>
      <c r="E224" s="33"/>
    </row>
    <row r="225" spans="1:5" x14ac:dyDescent="0.3">
      <c r="A225" s="149">
        <v>215</v>
      </c>
      <c r="B225" s="33" t="s">
        <v>634</v>
      </c>
      <c r="C225" s="175"/>
      <c r="D225" s="209" t="str" cm="1">
        <f t="array" ref="D225">IF(ISNUMBER(MATCH(A225,{7,30,35,58,87,90,96,97,98,131,142,155,164,177,210,215},0)), _xlfn.IFS(C225="","",C225=0,3,C225=1,2,C225=2,1,C225=3,0), IF(C225="","",C225))</f>
        <v/>
      </c>
      <c r="E225" s="33"/>
    </row>
    <row r="226" spans="1:5" x14ac:dyDescent="0.3">
      <c r="A226" s="155">
        <v>216</v>
      </c>
      <c r="B226" s="156" t="s">
        <v>635</v>
      </c>
      <c r="C226" s="176"/>
      <c r="D226" s="209" t="str" cm="1">
        <f t="array" ref="D226">IF(ISNUMBER(MATCH(A226,{7,30,35,58,87,90,96,97,98,131,142,155,164,177,210,215},0)), _xlfn.IFS(C226="","",C226=0,3,C226=1,2,C226=2,1,C226=3,0), IF(C226="","",C226))</f>
        <v/>
      </c>
      <c r="E226" s="33"/>
    </row>
    <row r="227" spans="1:5" x14ac:dyDescent="0.3">
      <c r="A227" s="149">
        <v>217</v>
      </c>
      <c r="B227" s="33" t="s">
        <v>636</v>
      </c>
      <c r="C227" s="175"/>
      <c r="D227" s="209" t="str" cm="1">
        <f t="array" ref="D227">IF(ISNUMBER(MATCH(A227,{7,30,35,58,87,90,96,97,98,131,142,155,164,177,210,215},0)), _xlfn.IFS(C227="","",C227=0,3,C227=1,2,C227=2,1,C227=3,0), IF(C227="","",C227))</f>
        <v/>
      </c>
      <c r="E227" s="33"/>
    </row>
    <row r="228" spans="1:5" x14ac:dyDescent="0.3">
      <c r="A228" s="155">
        <v>218</v>
      </c>
      <c r="B228" s="156" t="s">
        <v>637</v>
      </c>
      <c r="C228" s="176"/>
      <c r="D228" s="209" t="str" cm="1">
        <f t="array" ref="D228">IF(ISNUMBER(MATCH(A228,{7,30,35,58,87,90,96,97,98,131,142,155,164,177,210,215},0)), _xlfn.IFS(C228="","",C228=0,3,C228=1,2,C228=2,1,C228=3,0), IF(C228="","",C228))</f>
        <v/>
      </c>
      <c r="E228" s="33"/>
    </row>
    <row r="229" spans="1:5" x14ac:dyDescent="0.3">
      <c r="A229" s="149">
        <v>219</v>
      </c>
      <c r="B229" s="33" t="s">
        <v>638</v>
      </c>
      <c r="C229" s="175"/>
      <c r="D229" s="209" t="str" cm="1">
        <f t="array" ref="D229">IF(ISNUMBER(MATCH(A229,{7,30,35,58,87,90,96,97,98,131,142,155,164,177,210,215},0)), _xlfn.IFS(C229="","",C229=0,3,C229=1,2,C229=2,1,C229=3,0), IF(C229="","",C229))</f>
        <v/>
      </c>
      <c r="E229" s="33"/>
    </row>
    <row r="230" spans="1:5" ht="20.25" thickBot="1" x14ac:dyDescent="0.35">
      <c r="A230" s="173">
        <v>220</v>
      </c>
      <c r="B230" s="174" t="s">
        <v>639</v>
      </c>
      <c r="C230" s="177"/>
      <c r="D230" s="209" t="str" cm="1">
        <f t="array" ref="D230">IF(ISNUMBER(MATCH(A230,{7,30,35,58,87,90,96,97,98,131,142,155,164,177,210,215},0)), _xlfn.IFS(C230="","",C230=0,3,C230=1,2,C230=2,1,C230=3,0), IF(C230="","",C230))</f>
        <v/>
      </c>
      <c r="E230" s="33"/>
    </row>
    <row r="233" spans="1:5" x14ac:dyDescent="0.3">
      <c r="A233" s="131"/>
      <c r="B233" s="170" t="s">
        <v>797</v>
      </c>
      <c r="C233" s="131"/>
    </row>
    <row r="234" spans="1:5" ht="31.5" x14ac:dyDescent="0.3">
      <c r="B234" s="70" t="s">
        <v>832</v>
      </c>
    </row>
  </sheetData>
  <sheetProtection algorithmName="SHA-512" hashValue="5rQG98pI0zRAd5uoEJw8Vs+2qblpE1jQcPYr6DcoFTdHQ1g32pd4yOaQDmx3G5wToxvROD1IyOvJ425LqG2R1A==" saltValue="aN1S2Cz7ARCMtLpJw7WTBg==" spinCount="100000" sheet="1" objects="1" scenarios="1"/>
  <mergeCells count="2">
    <mergeCell ref="A6:C6"/>
    <mergeCell ref="A7:C7"/>
  </mergeCells>
  <dataValidations count="1">
    <dataValidation type="list" allowBlank="1" showInputMessage="1" showErrorMessage="1" sqref="C11:C230 E11:E230" xr:uid="{88EA1187-0375-B94A-870F-AB3CAEEBF61D}">
      <formula1>"0,1,2,3"</formula1>
    </dataValidation>
  </dataValidation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B8554-8278-BB4C-8605-F38355BDE654}">
  <sheetPr>
    <tabColor theme="8"/>
  </sheetPr>
  <dimension ref="A1:AE231"/>
  <sheetViews>
    <sheetView zoomScaleNormal="100" workbookViewId="0">
      <selection activeCell="C11" sqref="C11"/>
    </sheetView>
  </sheetViews>
  <sheetFormatPr defaultColWidth="10.875" defaultRowHeight="19.5" x14ac:dyDescent="0.3"/>
  <cols>
    <col min="1" max="1" width="8.375" style="28" customWidth="1"/>
    <col min="2" max="2" width="106" style="28" customWidth="1"/>
    <col min="3" max="3" width="12.5" style="28" customWidth="1"/>
    <col min="4" max="5" width="10.875" style="28"/>
    <col min="6" max="6" width="54.125" style="28" customWidth="1"/>
    <col min="7" max="9" width="12.5" style="28" customWidth="1"/>
    <col min="10" max="10" width="19.625" style="28" bestFit="1" customWidth="1"/>
    <col min="11" max="11" width="19.375" style="28" bestFit="1" customWidth="1"/>
    <col min="12"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172" t="s">
        <v>713</v>
      </c>
      <c r="F3" s="130"/>
      <c r="G3" s="130"/>
      <c r="H3" s="130"/>
      <c r="I3" s="130"/>
      <c r="J3" s="130"/>
      <c r="AE3" s="61"/>
    </row>
    <row r="5" spans="1:31" x14ac:dyDescent="0.3">
      <c r="A5" s="131" t="s">
        <v>818</v>
      </c>
      <c r="B5" s="132"/>
      <c r="C5" s="132"/>
    </row>
    <row r="6" spans="1:31" s="133" customFormat="1" ht="51" customHeight="1" x14ac:dyDescent="0.25">
      <c r="A6" s="339" t="s">
        <v>412</v>
      </c>
      <c r="B6" s="340"/>
      <c r="C6" s="341"/>
      <c r="AE6" s="134"/>
    </row>
    <row r="7" spans="1:31" s="133" customFormat="1" x14ac:dyDescent="0.25">
      <c r="A7" s="342" t="s">
        <v>640</v>
      </c>
      <c r="B7" s="343"/>
      <c r="C7" s="344"/>
      <c r="AE7" s="134"/>
    </row>
    <row r="8" spans="1:31" ht="20.25" thickBot="1" x14ac:dyDescent="0.35"/>
    <row r="9" spans="1:31" x14ac:dyDescent="0.3">
      <c r="A9" s="138"/>
      <c r="B9" s="139"/>
      <c r="C9" s="140"/>
      <c r="E9" s="216"/>
      <c r="F9" s="139" t="s">
        <v>132</v>
      </c>
      <c r="G9" s="141"/>
      <c r="H9" s="142" t="s">
        <v>739</v>
      </c>
      <c r="I9" s="143"/>
      <c r="J9" s="139"/>
      <c r="K9" s="139"/>
    </row>
    <row r="10" spans="1:31" ht="75" x14ac:dyDescent="0.3">
      <c r="A10" s="144" t="s">
        <v>1</v>
      </c>
      <c r="B10" s="260" t="s">
        <v>2</v>
      </c>
      <c r="C10" s="145" t="s">
        <v>821</v>
      </c>
      <c r="E10" s="219"/>
      <c r="F10" s="146" t="s">
        <v>324</v>
      </c>
      <c r="G10" s="147" t="s">
        <v>134</v>
      </c>
      <c r="H10" s="147" t="s">
        <v>135</v>
      </c>
      <c r="I10" s="148" t="s">
        <v>317</v>
      </c>
      <c r="J10" s="146" t="s">
        <v>136</v>
      </c>
      <c r="K10" s="146" t="s">
        <v>1448</v>
      </c>
    </row>
    <row r="11" spans="1:31" s="33" customFormat="1" x14ac:dyDescent="0.25">
      <c r="A11" s="149">
        <v>1</v>
      </c>
      <c r="B11" s="33" t="s">
        <v>714</v>
      </c>
      <c r="C11" s="175"/>
      <c r="D11" s="28"/>
      <c r="F11" s="157" t="s">
        <v>325</v>
      </c>
      <c r="G11" s="220" t="str" cm="1">
        <f t="array" ref="G11">IF(COUNTA(C$11:C$230)&gt;0,AVERAGE(SUMIF(A$11:A$230,{8,9,10,11,15},C$11:C$230)),"")</f>
        <v/>
      </c>
      <c r="H11" s="152" t="str">
        <f ca="1">IF(G11="","",(G11-VLOOKUP(F11,INDIRECT($H$9),2, FALSE))/VLOOKUP(F11,INDIRECT($H$9),3, FALSE))</f>
        <v/>
      </c>
      <c r="I11" s="198" t="str" cm="1">
        <f t="array" aca="1" ref="I11" ca="1">_xlfn.IFS(H11="","",H11&lt;-1,"Low",AND(-1&lt;H11, H11&lt;1),"Average",H11&gt;1, "High")</f>
        <v/>
      </c>
      <c r="J11" s="221" t="s">
        <v>641</v>
      </c>
      <c r="K11" s="221" t="s">
        <v>1549</v>
      </c>
      <c r="AE11" s="62"/>
    </row>
    <row r="12" spans="1:31" s="33" customFormat="1" x14ac:dyDescent="0.25">
      <c r="A12" s="155">
        <v>2</v>
      </c>
      <c r="B12" s="156" t="s">
        <v>715</v>
      </c>
      <c r="C12" s="176"/>
      <c r="D12" s="28"/>
      <c r="F12" s="157" t="s">
        <v>326</v>
      </c>
      <c r="G12" s="222" t="str" cm="1">
        <f t="array" ref="G12">IF(COUNTA(C$11:C$230)&gt;0,AVERAGE(SUMIF(A$11:A$230,{4,13,14,16,18},C$11:C$230)),"")</f>
        <v/>
      </c>
      <c r="H12" s="159" t="str">
        <f ca="1">IF(G12="","",(G12-VLOOKUP(F12,INDIRECT($H$9),2, FALSE))/VLOOKUP(F12,INDIRECT($H$9),3, FALSE))</f>
        <v/>
      </c>
      <c r="I12" s="190" t="str" cm="1">
        <f t="array" aca="1" ref="I12" ca="1">_xlfn.IFS(H12="","",H12&lt;-1,"Low",AND(-1&lt;H12, H12&lt;1),"Average",H12&gt;1, "High")</f>
        <v/>
      </c>
      <c r="J12" s="223" t="s">
        <v>326</v>
      </c>
      <c r="K12" s="223" t="s">
        <v>1550</v>
      </c>
      <c r="AE12" s="62"/>
    </row>
    <row r="13" spans="1:31" s="33" customFormat="1" x14ac:dyDescent="0.25">
      <c r="A13" s="149">
        <v>3</v>
      </c>
      <c r="B13" s="33" t="s">
        <v>716</v>
      </c>
      <c r="C13" s="175"/>
      <c r="D13" s="28"/>
      <c r="F13" s="157" t="s">
        <v>327</v>
      </c>
      <c r="G13" s="222" t="str" cm="1">
        <f t="array" ref="G13">IF(COUNTA(C$11:C$230)&gt;0,AVERAGE(SUMIF(A$11:A$230,{17,19,20,22,25},C$11:C$230)),"")</f>
        <v/>
      </c>
      <c r="H13" s="159" t="str">
        <f ca="1">IF(G13="","",(G13-VLOOKUP(F13,INDIRECT($H$9),2, FALSE))/VLOOKUP(F13,INDIRECT($H$9),3, FALSE))</f>
        <v/>
      </c>
      <c r="I13" s="190" t="str" cm="1">
        <f t="array" aca="1" ref="I13" ca="1">_xlfn.IFS(H13="","",H13&lt;-1,"Low",AND(-1&lt;H13, H13&lt;1),"Average",H13&gt;1, "High")</f>
        <v/>
      </c>
      <c r="J13" s="223" t="s">
        <v>327</v>
      </c>
      <c r="K13" s="223" t="s">
        <v>1551</v>
      </c>
      <c r="AE13" s="62"/>
    </row>
    <row r="14" spans="1:31" s="33" customFormat="1" x14ac:dyDescent="0.25">
      <c r="A14" s="155">
        <v>4</v>
      </c>
      <c r="B14" s="156" t="s">
        <v>717</v>
      </c>
      <c r="C14" s="176"/>
      <c r="D14" s="28"/>
      <c r="F14" s="157" t="s">
        <v>328</v>
      </c>
      <c r="G14" s="222" t="str" cm="1">
        <f t="array" ref="G14">IF(COUNTA(C$11:C$230)&gt;0,AVERAGE(SUMIF(A$11:A$230,{1,2,3,5,6},C$11:C$230)),"")</f>
        <v/>
      </c>
      <c r="H14" s="159" t="str">
        <f ca="1">IF(G14="","",(G14-VLOOKUP(F14,INDIRECT($H$9),2, FALSE))/VLOOKUP(F14,INDIRECT($H$9),3, FALSE))</f>
        <v/>
      </c>
      <c r="I14" s="190" t="str" cm="1">
        <f t="array" aca="1" ref="I14" ca="1">_xlfn.IFS(H14="","",H14&lt;-1,"Low",AND(-1&lt;H14, H14&lt;1),"Average",H14&gt;1, "High")</f>
        <v/>
      </c>
      <c r="J14" s="223" t="s">
        <v>328</v>
      </c>
      <c r="K14" s="223" t="s">
        <v>1552</v>
      </c>
      <c r="AE14" s="62"/>
    </row>
    <row r="15" spans="1:31" s="33" customFormat="1" x14ac:dyDescent="0.25">
      <c r="A15" s="149">
        <v>5</v>
      </c>
      <c r="B15" s="33" t="s">
        <v>718</v>
      </c>
      <c r="C15" s="175"/>
      <c r="D15" s="28"/>
      <c r="F15" s="162" t="s">
        <v>329</v>
      </c>
      <c r="G15" s="230" t="str" cm="1">
        <f t="array" ref="G15">IF(COUNTA(C$11:C$230)&gt;0,AVERAGE(SUMIF(A$11:A$230,{7,12,21,23,24},C$11:C$230)),"")</f>
        <v/>
      </c>
      <c r="H15" s="163" t="str">
        <f ca="1">IF(G15="","",(G15-VLOOKUP(F15,INDIRECT($H$9),2, FALSE))/VLOOKUP(F15,INDIRECT($H$9),3, FALSE))</f>
        <v/>
      </c>
      <c r="I15" s="137" t="str" cm="1">
        <f t="array" aca="1" ref="I15" ca="1">_xlfn.IFS(H15="","",H15&lt;-1,"Low",AND(-1&lt;H15, H15&lt;1),"Average",H15&gt;1, "High")</f>
        <v/>
      </c>
      <c r="J15" s="231" t="s">
        <v>329</v>
      </c>
      <c r="K15" s="231" t="s">
        <v>1553</v>
      </c>
      <c r="AE15" s="62"/>
    </row>
    <row r="16" spans="1:31" s="33" customFormat="1" x14ac:dyDescent="0.25">
      <c r="A16" s="155">
        <v>6</v>
      </c>
      <c r="B16" s="156" t="s">
        <v>719</v>
      </c>
      <c r="C16" s="176"/>
      <c r="D16" s="28"/>
      <c r="F16" s="28"/>
      <c r="G16" s="28"/>
      <c r="H16" s="28"/>
      <c r="I16" s="232"/>
      <c r="J16" s="28"/>
      <c r="K16" s="28"/>
      <c r="AE16" s="62"/>
    </row>
    <row r="17" spans="1:31" s="33" customFormat="1" x14ac:dyDescent="0.25">
      <c r="A17" s="149">
        <v>7</v>
      </c>
      <c r="B17" s="33" t="s">
        <v>720</v>
      </c>
      <c r="C17" s="175"/>
      <c r="D17" s="28"/>
      <c r="F17" s="28"/>
      <c r="G17" s="28"/>
      <c r="H17" s="28"/>
      <c r="I17" s="28"/>
      <c r="J17" s="28"/>
      <c r="K17" s="28"/>
      <c r="AE17" s="62"/>
    </row>
    <row r="18" spans="1:31" s="33" customFormat="1" ht="21" x14ac:dyDescent="0.35">
      <c r="A18" s="155">
        <v>8</v>
      </c>
      <c r="B18" s="156" t="s">
        <v>721</v>
      </c>
      <c r="C18" s="176"/>
      <c r="D18" s="28"/>
      <c r="F18" s="166" t="s">
        <v>237</v>
      </c>
      <c r="G18" s="132"/>
      <c r="H18" s="132"/>
      <c r="I18" s="132"/>
      <c r="J18" s="132"/>
      <c r="K18" s="132"/>
      <c r="AE18" s="62"/>
    </row>
    <row r="19" spans="1:31" s="33" customFormat="1" x14ac:dyDescent="0.25">
      <c r="A19" s="149">
        <v>9</v>
      </c>
      <c r="B19" s="33" t="s">
        <v>722</v>
      </c>
      <c r="C19" s="175"/>
      <c r="D19" s="28"/>
      <c r="F19" s="184" t="s">
        <v>788</v>
      </c>
      <c r="G19" s="28"/>
      <c r="H19" s="28"/>
      <c r="I19" s="28"/>
      <c r="J19" s="28"/>
      <c r="K19" s="28"/>
      <c r="AE19" s="62"/>
    </row>
    <row r="20" spans="1:31" s="33" customFormat="1" x14ac:dyDescent="0.25">
      <c r="A20" s="155">
        <v>10</v>
      </c>
      <c r="B20" s="156" t="s">
        <v>723</v>
      </c>
      <c r="C20" s="176"/>
      <c r="D20" s="28"/>
      <c r="F20" s="184"/>
      <c r="G20" s="28"/>
      <c r="H20" s="28"/>
      <c r="I20" s="28"/>
      <c r="J20" s="28"/>
      <c r="K20" s="28"/>
      <c r="AE20" s="62"/>
    </row>
    <row r="21" spans="1:31" s="33" customFormat="1" x14ac:dyDescent="0.25">
      <c r="A21" s="149">
        <v>11</v>
      </c>
      <c r="B21" s="33" t="s">
        <v>724</v>
      </c>
      <c r="C21" s="175"/>
      <c r="D21" s="28"/>
      <c r="F21" s="188" t="s">
        <v>150</v>
      </c>
      <c r="G21" s="28"/>
      <c r="H21" s="28"/>
      <c r="I21" s="28"/>
      <c r="J21" s="28"/>
      <c r="K21" s="28"/>
      <c r="AE21" s="62"/>
    </row>
    <row r="22" spans="1:31" s="33" customFormat="1" x14ac:dyDescent="0.25">
      <c r="A22" s="155">
        <v>12</v>
      </c>
      <c r="B22" s="156" t="s">
        <v>725</v>
      </c>
      <c r="C22" s="176"/>
      <c r="D22" s="28"/>
      <c r="F22" s="101" t="s">
        <v>785</v>
      </c>
      <c r="G22" s="28"/>
      <c r="H22" s="28"/>
      <c r="I22" s="28"/>
      <c r="J22" s="28"/>
      <c r="K22" s="28"/>
      <c r="AE22" s="62"/>
    </row>
    <row r="23" spans="1:31" s="33" customFormat="1" x14ac:dyDescent="0.25">
      <c r="A23" s="149">
        <v>13</v>
      </c>
      <c r="B23" s="33" t="s">
        <v>726</v>
      </c>
      <c r="C23" s="175"/>
      <c r="D23" s="28"/>
      <c r="F23" s="101" t="s">
        <v>786</v>
      </c>
      <c r="G23" s="28"/>
      <c r="H23" s="28"/>
      <c r="I23" s="28"/>
      <c r="J23" s="28"/>
      <c r="K23" s="28"/>
      <c r="AE23" s="62"/>
    </row>
    <row r="24" spans="1:31" s="33" customFormat="1" x14ac:dyDescent="0.25">
      <c r="A24" s="155">
        <v>14</v>
      </c>
      <c r="B24" s="156" t="s">
        <v>727</v>
      </c>
      <c r="C24" s="176"/>
      <c r="D24" s="28"/>
      <c r="F24" s="101" t="s">
        <v>787</v>
      </c>
      <c r="G24" s="28"/>
      <c r="H24" s="28"/>
      <c r="I24" s="28"/>
      <c r="J24" s="28"/>
      <c r="K24" s="28"/>
      <c r="AE24" s="62"/>
    </row>
    <row r="25" spans="1:31" s="33" customFormat="1" x14ac:dyDescent="0.25">
      <c r="A25" s="149">
        <v>15</v>
      </c>
      <c r="B25" s="33" t="s">
        <v>728</v>
      </c>
      <c r="C25" s="175"/>
      <c r="D25" s="28"/>
      <c r="AE25" s="62"/>
    </row>
    <row r="26" spans="1:31" s="33" customFormat="1" x14ac:dyDescent="0.25">
      <c r="A26" s="155">
        <v>16</v>
      </c>
      <c r="B26" s="156" t="s">
        <v>729</v>
      </c>
      <c r="C26" s="176"/>
      <c r="D26" s="28"/>
      <c r="F26" s="28"/>
      <c r="G26" s="28"/>
      <c r="H26" s="28"/>
      <c r="I26" s="28"/>
      <c r="J26" s="28"/>
      <c r="K26" s="28"/>
      <c r="AE26" s="62"/>
    </row>
    <row r="27" spans="1:31" ht="21" x14ac:dyDescent="0.35">
      <c r="A27" s="149">
        <v>17</v>
      </c>
      <c r="B27" s="33" t="s">
        <v>730</v>
      </c>
      <c r="C27" s="175"/>
      <c r="E27" s="33"/>
      <c r="F27" s="168"/>
    </row>
    <row r="28" spans="1:31" x14ac:dyDescent="0.3">
      <c r="A28" s="155">
        <v>18</v>
      </c>
      <c r="B28" s="156" t="s">
        <v>731</v>
      </c>
      <c r="C28" s="176"/>
      <c r="E28" s="33"/>
      <c r="F28" s="184"/>
    </row>
    <row r="29" spans="1:31" x14ac:dyDescent="0.3">
      <c r="A29" s="149">
        <v>19</v>
      </c>
      <c r="B29" s="33" t="s">
        <v>732</v>
      </c>
      <c r="C29" s="175"/>
      <c r="E29" s="33"/>
      <c r="F29" s="184"/>
    </row>
    <row r="30" spans="1:31" x14ac:dyDescent="0.3">
      <c r="A30" s="155">
        <v>20</v>
      </c>
      <c r="B30" s="156" t="s">
        <v>733</v>
      </c>
      <c r="C30" s="176"/>
      <c r="E30" s="33"/>
      <c r="F30" s="184"/>
    </row>
    <row r="31" spans="1:31" x14ac:dyDescent="0.3">
      <c r="A31" s="149">
        <v>21</v>
      </c>
      <c r="B31" s="33" t="s">
        <v>734</v>
      </c>
      <c r="C31" s="175"/>
      <c r="E31" s="33"/>
      <c r="F31" s="101"/>
    </row>
    <row r="32" spans="1:31" x14ac:dyDescent="0.3">
      <c r="A32" s="155">
        <v>22</v>
      </c>
      <c r="B32" s="156" t="s">
        <v>735</v>
      </c>
      <c r="C32" s="176"/>
      <c r="E32" s="33"/>
      <c r="F32" s="101"/>
    </row>
    <row r="33" spans="1:6" x14ac:dyDescent="0.3">
      <c r="A33" s="149">
        <v>23</v>
      </c>
      <c r="B33" s="33" t="s">
        <v>736</v>
      </c>
      <c r="C33" s="175"/>
      <c r="E33" s="33"/>
      <c r="F33" s="101"/>
    </row>
    <row r="34" spans="1:6" x14ac:dyDescent="0.3">
      <c r="A34" s="155">
        <v>24</v>
      </c>
      <c r="B34" s="156" t="s">
        <v>737</v>
      </c>
      <c r="C34" s="176"/>
      <c r="E34" s="33"/>
      <c r="F34" s="102"/>
    </row>
    <row r="35" spans="1:6" ht="20.25" thickBot="1" x14ac:dyDescent="0.35">
      <c r="A35" s="149">
        <v>25</v>
      </c>
      <c r="B35" s="33" t="s">
        <v>738</v>
      </c>
      <c r="C35" s="178"/>
      <c r="E35" s="33"/>
      <c r="F35" s="102"/>
    </row>
    <row r="36" spans="1:6" x14ac:dyDescent="0.3">
      <c r="A36" s="237"/>
      <c r="B36" s="237"/>
      <c r="E36" s="33"/>
    </row>
    <row r="37" spans="1:6" x14ac:dyDescent="0.3">
      <c r="E37" s="33"/>
    </row>
    <row r="38" spans="1:6" x14ac:dyDescent="0.3">
      <c r="A38" s="131"/>
      <c r="B38" s="170" t="s">
        <v>797</v>
      </c>
      <c r="C38" s="131"/>
      <c r="E38" s="33"/>
    </row>
    <row r="39" spans="1:6" ht="31.5" x14ac:dyDescent="0.3">
      <c r="B39" s="70" t="s">
        <v>832</v>
      </c>
      <c r="E39" s="33"/>
    </row>
    <row r="40" spans="1:6" x14ac:dyDescent="0.3">
      <c r="E40" s="33"/>
    </row>
    <row r="41" spans="1:6" x14ac:dyDescent="0.3">
      <c r="E41" s="33"/>
    </row>
    <row r="42" spans="1:6" x14ac:dyDescent="0.3">
      <c r="E42" s="33"/>
    </row>
    <row r="43" spans="1:6" x14ac:dyDescent="0.3">
      <c r="E43" s="33"/>
    </row>
    <row r="44" spans="1:6" x14ac:dyDescent="0.3">
      <c r="E44" s="33"/>
    </row>
    <row r="45" spans="1:6" x14ac:dyDescent="0.3">
      <c r="E45" s="33"/>
    </row>
    <row r="46" spans="1:6" x14ac:dyDescent="0.3">
      <c r="E46" s="33"/>
    </row>
    <row r="47" spans="1:6" x14ac:dyDescent="0.3">
      <c r="E47" s="33"/>
    </row>
    <row r="48" spans="1:6" x14ac:dyDescent="0.3">
      <c r="E48" s="33"/>
    </row>
    <row r="49" spans="5:5" x14ac:dyDescent="0.3">
      <c r="E49" s="33"/>
    </row>
    <row r="50" spans="5:5" x14ac:dyDescent="0.3">
      <c r="E50" s="33"/>
    </row>
    <row r="51" spans="5:5" x14ac:dyDescent="0.3">
      <c r="E51" s="33"/>
    </row>
    <row r="52" spans="5:5" x14ac:dyDescent="0.3">
      <c r="E52" s="33"/>
    </row>
    <row r="53" spans="5:5" x14ac:dyDescent="0.3">
      <c r="E53" s="33"/>
    </row>
    <row r="54" spans="5:5" x14ac:dyDescent="0.3">
      <c r="E54" s="33"/>
    </row>
    <row r="55" spans="5:5" x14ac:dyDescent="0.3">
      <c r="E55" s="33"/>
    </row>
    <row r="56" spans="5:5" x14ac:dyDescent="0.3">
      <c r="E56" s="33"/>
    </row>
    <row r="57" spans="5:5" x14ac:dyDescent="0.3">
      <c r="E57" s="33"/>
    </row>
    <row r="58" spans="5:5" x14ac:dyDescent="0.3">
      <c r="E58" s="33"/>
    </row>
    <row r="59" spans="5:5" x14ac:dyDescent="0.3">
      <c r="E59" s="33"/>
    </row>
    <row r="60" spans="5:5" x14ac:dyDescent="0.3">
      <c r="E60" s="33"/>
    </row>
    <row r="61" spans="5:5" x14ac:dyDescent="0.3">
      <c r="E61" s="33"/>
    </row>
    <row r="62" spans="5:5" x14ac:dyDescent="0.3">
      <c r="E62" s="33"/>
    </row>
    <row r="63" spans="5:5" x14ac:dyDescent="0.3">
      <c r="E63" s="33"/>
    </row>
    <row r="64" spans="5:5" x14ac:dyDescent="0.3">
      <c r="E64" s="33"/>
    </row>
    <row r="65" spans="5:5" x14ac:dyDescent="0.3">
      <c r="E65" s="33"/>
    </row>
    <row r="66" spans="5:5" x14ac:dyDescent="0.3">
      <c r="E66" s="33"/>
    </row>
    <row r="67" spans="5:5" x14ac:dyDescent="0.3">
      <c r="E67" s="33"/>
    </row>
    <row r="68" spans="5:5" x14ac:dyDescent="0.3">
      <c r="E68" s="33"/>
    </row>
    <row r="69" spans="5:5" x14ac:dyDescent="0.3">
      <c r="E69" s="33"/>
    </row>
    <row r="70" spans="5:5" x14ac:dyDescent="0.3">
      <c r="E70" s="33"/>
    </row>
    <row r="71" spans="5:5" x14ac:dyDescent="0.3">
      <c r="E71" s="33"/>
    </row>
    <row r="72" spans="5:5" x14ac:dyDescent="0.3">
      <c r="E72" s="33"/>
    </row>
    <row r="73" spans="5:5" x14ac:dyDescent="0.3">
      <c r="E73" s="33"/>
    </row>
    <row r="74" spans="5:5" x14ac:dyDescent="0.3">
      <c r="E74" s="33"/>
    </row>
    <row r="75" spans="5:5" x14ac:dyDescent="0.3">
      <c r="E75" s="33"/>
    </row>
    <row r="76" spans="5:5" x14ac:dyDescent="0.3">
      <c r="E76" s="33"/>
    </row>
    <row r="77" spans="5:5" x14ac:dyDescent="0.3">
      <c r="E77" s="33"/>
    </row>
    <row r="78" spans="5:5" x14ac:dyDescent="0.3">
      <c r="E78" s="33"/>
    </row>
    <row r="79" spans="5:5" x14ac:dyDescent="0.3">
      <c r="E79" s="33"/>
    </row>
    <row r="80" spans="5:5" x14ac:dyDescent="0.3">
      <c r="E80" s="33"/>
    </row>
    <row r="81" spans="5:5" x14ac:dyDescent="0.3">
      <c r="E81" s="33"/>
    </row>
    <row r="82" spans="5:5" x14ac:dyDescent="0.3">
      <c r="E82" s="33"/>
    </row>
    <row r="83" spans="5:5" x14ac:dyDescent="0.3">
      <c r="E83" s="33"/>
    </row>
    <row r="84" spans="5:5" x14ac:dyDescent="0.3">
      <c r="E84" s="33"/>
    </row>
    <row r="85" spans="5:5" x14ac:dyDescent="0.3">
      <c r="E85" s="33"/>
    </row>
    <row r="86" spans="5:5" x14ac:dyDescent="0.3">
      <c r="E86" s="33"/>
    </row>
    <row r="87" spans="5:5" x14ac:dyDescent="0.3">
      <c r="E87" s="33"/>
    </row>
    <row r="88" spans="5:5" x14ac:dyDescent="0.3">
      <c r="E88" s="33"/>
    </row>
    <row r="89" spans="5:5" x14ac:dyDescent="0.3">
      <c r="E89" s="33"/>
    </row>
    <row r="90" spans="5:5" x14ac:dyDescent="0.3">
      <c r="E90" s="33"/>
    </row>
    <row r="91" spans="5:5" x14ac:dyDescent="0.3">
      <c r="E91" s="33"/>
    </row>
    <row r="92" spans="5:5" x14ac:dyDescent="0.3">
      <c r="E92" s="33"/>
    </row>
    <row r="93" spans="5:5" x14ac:dyDescent="0.3">
      <c r="E93" s="33"/>
    </row>
    <row r="94" spans="5:5" x14ac:dyDescent="0.3">
      <c r="E94" s="33"/>
    </row>
    <row r="95" spans="5:5" x14ac:dyDescent="0.3">
      <c r="E95" s="33"/>
    </row>
    <row r="96" spans="5:5" x14ac:dyDescent="0.3">
      <c r="E96" s="33"/>
    </row>
    <row r="97" spans="5:5" x14ac:dyDescent="0.3">
      <c r="E97" s="33"/>
    </row>
    <row r="98" spans="5:5" x14ac:dyDescent="0.3">
      <c r="E98" s="33"/>
    </row>
    <row r="99" spans="5:5" x14ac:dyDescent="0.3">
      <c r="E99" s="33"/>
    </row>
    <row r="100" spans="5:5" x14ac:dyDescent="0.3">
      <c r="E100" s="33"/>
    </row>
    <row r="101" spans="5:5" x14ac:dyDescent="0.3">
      <c r="E101" s="33"/>
    </row>
    <row r="102" spans="5:5" x14ac:dyDescent="0.3">
      <c r="E102" s="33"/>
    </row>
    <row r="103" spans="5:5" x14ac:dyDescent="0.3">
      <c r="E103" s="33"/>
    </row>
    <row r="104" spans="5:5" x14ac:dyDescent="0.3">
      <c r="E104" s="33"/>
    </row>
    <row r="105" spans="5:5" x14ac:dyDescent="0.3">
      <c r="E105" s="33"/>
    </row>
    <row r="106" spans="5:5" x14ac:dyDescent="0.3">
      <c r="E106" s="33"/>
    </row>
    <row r="107" spans="5:5" x14ac:dyDescent="0.3">
      <c r="E107" s="33"/>
    </row>
    <row r="108" spans="5:5" x14ac:dyDescent="0.3">
      <c r="E108" s="33"/>
    </row>
    <row r="109" spans="5:5" x14ac:dyDescent="0.3">
      <c r="E109" s="33"/>
    </row>
    <row r="110" spans="5:5" x14ac:dyDescent="0.3">
      <c r="E110" s="33"/>
    </row>
    <row r="111" spans="5:5" x14ac:dyDescent="0.3">
      <c r="E111" s="33"/>
    </row>
    <row r="112" spans="5:5" x14ac:dyDescent="0.3">
      <c r="E112" s="33"/>
    </row>
    <row r="113" spans="5:5" x14ac:dyDescent="0.3">
      <c r="E113" s="33"/>
    </row>
    <row r="114" spans="5:5" x14ac:dyDescent="0.3">
      <c r="E114" s="33"/>
    </row>
    <row r="115" spans="5:5" x14ac:dyDescent="0.3">
      <c r="E115" s="33"/>
    </row>
    <row r="116" spans="5:5" x14ac:dyDescent="0.3">
      <c r="E116" s="33"/>
    </row>
    <row r="117" spans="5:5" x14ac:dyDescent="0.3">
      <c r="E117" s="33"/>
    </row>
    <row r="118" spans="5:5" x14ac:dyDescent="0.3">
      <c r="E118" s="33"/>
    </row>
    <row r="119" spans="5:5" x14ac:dyDescent="0.3">
      <c r="E119" s="33"/>
    </row>
    <row r="120" spans="5:5" x14ac:dyDescent="0.3">
      <c r="E120" s="33"/>
    </row>
    <row r="121" spans="5:5" x14ac:dyDescent="0.3">
      <c r="E121" s="33"/>
    </row>
    <row r="122" spans="5:5" x14ac:dyDescent="0.3">
      <c r="E122" s="33"/>
    </row>
    <row r="123" spans="5:5" x14ac:dyDescent="0.3">
      <c r="E123" s="33"/>
    </row>
    <row r="124" spans="5:5" x14ac:dyDescent="0.3">
      <c r="E124" s="33"/>
    </row>
    <row r="125" spans="5:5" x14ac:dyDescent="0.3">
      <c r="E125" s="33"/>
    </row>
    <row r="126" spans="5:5" x14ac:dyDescent="0.3">
      <c r="E126" s="33"/>
    </row>
    <row r="127" spans="5:5" x14ac:dyDescent="0.3">
      <c r="E127" s="33"/>
    </row>
    <row r="128" spans="5:5" x14ac:dyDescent="0.3">
      <c r="E128" s="33"/>
    </row>
    <row r="129" spans="5:5" x14ac:dyDescent="0.3">
      <c r="E129" s="33"/>
    </row>
    <row r="130" spans="5:5" x14ac:dyDescent="0.3">
      <c r="E130" s="33"/>
    </row>
    <row r="131" spans="5:5" x14ac:dyDescent="0.3">
      <c r="E131" s="33"/>
    </row>
    <row r="132" spans="5:5" x14ac:dyDescent="0.3">
      <c r="E132" s="33"/>
    </row>
    <row r="133" spans="5:5" x14ac:dyDescent="0.3">
      <c r="E133" s="33"/>
    </row>
    <row r="134" spans="5:5" x14ac:dyDescent="0.3">
      <c r="E134" s="33"/>
    </row>
    <row r="135" spans="5:5" x14ac:dyDescent="0.3">
      <c r="E135" s="33"/>
    </row>
    <row r="136" spans="5:5" x14ac:dyDescent="0.3">
      <c r="E136" s="33"/>
    </row>
    <row r="137" spans="5:5" x14ac:dyDescent="0.3">
      <c r="E137" s="33"/>
    </row>
    <row r="138" spans="5:5" x14ac:dyDescent="0.3">
      <c r="E138" s="33"/>
    </row>
    <row r="139" spans="5:5" x14ac:dyDescent="0.3">
      <c r="E139" s="33"/>
    </row>
    <row r="140" spans="5:5" x14ac:dyDescent="0.3">
      <c r="E140" s="33"/>
    </row>
    <row r="141" spans="5:5" x14ac:dyDescent="0.3">
      <c r="E141" s="33"/>
    </row>
    <row r="142" spans="5:5" x14ac:dyDescent="0.3">
      <c r="E142" s="33"/>
    </row>
    <row r="143" spans="5:5" x14ac:dyDescent="0.3">
      <c r="E143" s="33"/>
    </row>
    <row r="144" spans="5:5" x14ac:dyDescent="0.3">
      <c r="E144" s="33"/>
    </row>
    <row r="145" spans="5:5" x14ac:dyDescent="0.3">
      <c r="E145" s="33"/>
    </row>
    <row r="146" spans="5:5" x14ac:dyDescent="0.3">
      <c r="E146" s="33"/>
    </row>
    <row r="147" spans="5:5" x14ac:dyDescent="0.3">
      <c r="E147" s="33"/>
    </row>
    <row r="148" spans="5:5" x14ac:dyDescent="0.3">
      <c r="E148" s="33"/>
    </row>
    <row r="149" spans="5:5" x14ac:dyDescent="0.3">
      <c r="E149" s="33"/>
    </row>
    <row r="150" spans="5:5" x14ac:dyDescent="0.3">
      <c r="E150" s="33"/>
    </row>
    <row r="151" spans="5:5" x14ac:dyDescent="0.3">
      <c r="E151" s="33"/>
    </row>
    <row r="152" spans="5:5" x14ac:dyDescent="0.3">
      <c r="E152" s="33"/>
    </row>
    <row r="153" spans="5:5" x14ac:dyDescent="0.3">
      <c r="E153" s="33"/>
    </row>
    <row r="154" spans="5:5" x14ac:dyDescent="0.3">
      <c r="E154" s="33"/>
    </row>
    <row r="155" spans="5:5" x14ac:dyDescent="0.3">
      <c r="E155" s="33"/>
    </row>
    <row r="156" spans="5:5" x14ac:dyDescent="0.3">
      <c r="E156" s="33"/>
    </row>
    <row r="157" spans="5:5" x14ac:dyDescent="0.3">
      <c r="E157" s="33"/>
    </row>
    <row r="158" spans="5:5" x14ac:dyDescent="0.3">
      <c r="E158" s="33"/>
    </row>
    <row r="159" spans="5:5" x14ac:dyDescent="0.3">
      <c r="E159" s="33"/>
    </row>
    <row r="160" spans="5:5" x14ac:dyDescent="0.3">
      <c r="E160" s="33"/>
    </row>
    <row r="161" spans="5:5" x14ac:dyDescent="0.3">
      <c r="E161" s="33"/>
    </row>
    <row r="162" spans="5:5" x14ac:dyDescent="0.3">
      <c r="E162" s="33"/>
    </row>
    <row r="163" spans="5:5" x14ac:dyDescent="0.3">
      <c r="E163" s="33"/>
    </row>
    <row r="164" spans="5:5" x14ac:dyDescent="0.3">
      <c r="E164" s="33"/>
    </row>
    <row r="165" spans="5:5" x14ac:dyDescent="0.3">
      <c r="E165" s="33"/>
    </row>
    <row r="166" spans="5:5" x14ac:dyDescent="0.3">
      <c r="E166" s="33"/>
    </row>
    <row r="167" spans="5:5" x14ac:dyDescent="0.3">
      <c r="E167" s="33"/>
    </row>
    <row r="168" spans="5:5" x14ac:dyDescent="0.3">
      <c r="E168" s="33"/>
    </row>
    <row r="169" spans="5:5" x14ac:dyDescent="0.3">
      <c r="E169" s="33"/>
    </row>
    <row r="170" spans="5:5" x14ac:dyDescent="0.3">
      <c r="E170" s="33"/>
    </row>
    <row r="171" spans="5:5" x14ac:dyDescent="0.3">
      <c r="E171" s="33"/>
    </row>
    <row r="172" spans="5:5" x14ac:dyDescent="0.3">
      <c r="E172" s="33"/>
    </row>
    <row r="173" spans="5:5" x14ac:dyDescent="0.3">
      <c r="E173" s="33"/>
    </row>
    <row r="174" spans="5:5" x14ac:dyDescent="0.3">
      <c r="E174" s="33"/>
    </row>
    <row r="175" spans="5:5" x14ac:dyDescent="0.3">
      <c r="E175" s="33"/>
    </row>
    <row r="176" spans="5:5" x14ac:dyDescent="0.3">
      <c r="E176" s="33"/>
    </row>
    <row r="177" spans="5:5" x14ac:dyDescent="0.3">
      <c r="E177" s="33"/>
    </row>
    <row r="178" spans="5:5" x14ac:dyDescent="0.3">
      <c r="E178" s="33"/>
    </row>
    <row r="179" spans="5:5" x14ac:dyDescent="0.3">
      <c r="E179" s="33"/>
    </row>
    <row r="180" spans="5:5" x14ac:dyDescent="0.3">
      <c r="E180" s="33"/>
    </row>
    <row r="181" spans="5:5" x14ac:dyDescent="0.3">
      <c r="E181" s="33"/>
    </row>
    <row r="182" spans="5:5" x14ac:dyDescent="0.3">
      <c r="E182" s="33"/>
    </row>
    <row r="183" spans="5:5" x14ac:dyDescent="0.3">
      <c r="E183" s="33"/>
    </row>
    <row r="184" spans="5:5" x14ac:dyDescent="0.3">
      <c r="E184" s="33"/>
    </row>
    <row r="185" spans="5:5" x14ac:dyDescent="0.3">
      <c r="E185" s="33"/>
    </row>
    <row r="186" spans="5:5" x14ac:dyDescent="0.3">
      <c r="E186" s="33"/>
    </row>
    <row r="187" spans="5:5" x14ac:dyDescent="0.3">
      <c r="E187" s="33"/>
    </row>
    <row r="188" spans="5:5" x14ac:dyDescent="0.3">
      <c r="E188" s="33"/>
    </row>
    <row r="189" spans="5:5" x14ac:dyDescent="0.3">
      <c r="E189" s="33"/>
    </row>
    <row r="190" spans="5:5" x14ac:dyDescent="0.3">
      <c r="E190" s="33"/>
    </row>
    <row r="191" spans="5:5" x14ac:dyDescent="0.3">
      <c r="E191" s="33"/>
    </row>
    <row r="192" spans="5:5" x14ac:dyDescent="0.3">
      <c r="E192" s="33"/>
    </row>
    <row r="193" spans="5:5" x14ac:dyDescent="0.3">
      <c r="E193" s="33"/>
    </row>
    <row r="194" spans="5:5" x14ac:dyDescent="0.3">
      <c r="E194" s="33"/>
    </row>
    <row r="195" spans="5:5" x14ac:dyDescent="0.3">
      <c r="E195" s="33"/>
    </row>
    <row r="196" spans="5:5" x14ac:dyDescent="0.3">
      <c r="E196" s="33"/>
    </row>
    <row r="197" spans="5:5" x14ac:dyDescent="0.3">
      <c r="E197" s="33"/>
    </row>
    <row r="198" spans="5:5" x14ac:dyDescent="0.3">
      <c r="E198" s="33"/>
    </row>
    <row r="199" spans="5:5" x14ac:dyDescent="0.3">
      <c r="E199" s="33"/>
    </row>
    <row r="200" spans="5:5" x14ac:dyDescent="0.3">
      <c r="E200" s="33"/>
    </row>
    <row r="201" spans="5:5" x14ac:dyDescent="0.3">
      <c r="E201" s="33"/>
    </row>
    <row r="202" spans="5:5" x14ac:dyDescent="0.3">
      <c r="E202" s="33"/>
    </row>
    <row r="203" spans="5:5" x14ac:dyDescent="0.3">
      <c r="E203" s="33"/>
    </row>
    <row r="204" spans="5:5" x14ac:dyDescent="0.3">
      <c r="E204" s="33"/>
    </row>
    <row r="205" spans="5:5" x14ac:dyDescent="0.3">
      <c r="E205" s="33"/>
    </row>
    <row r="206" spans="5:5" x14ac:dyDescent="0.3">
      <c r="E206" s="33"/>
    </row>
    <row r="207" spans="5:5" x14ac:dyDescent="0.3">
      <c r="E207" s="33"/>
    </row>
    <row r="208" spans="5:5" x14ac:dyDescent="0.3">
      <c r="E208" s="33"/>
    </row>
    <row r="209" spans="5:5" x14ac:dyDescent="0.3">
      <c r="E209" s="33"/>
    </row>
    <row r="210" spans="5:5" x14ac:dyDescent="0.3">
      <c r="E210" s="33"/>
    </row>
    <row r="211" spans="5:5" x14ac:dyDescent="0.3">
      <c r="E211" s="33"/>
    </row>
    <row r="212" spans="5:5" x14ac:dyDescent="0.3">
      <c r="E212" s="33"/>
    </row>
    <row r="213" spans="5:5" x14ac:dyDescent="0.3">
      <c r="E213" s="33"/>
    </row>
    <row r="214" spans="5:5" x14ac:dyDescent="0.3">
      <c r="E214" s="33"/>
    </row>
    <row r="215" spans="5:5" x14ac:dyDescent="0.3">
      <c r="E215" s="33"/>
    </row>
    <row r="216" spans="5:5" x14ac:dyDescent="0.3">
      <c r="E216" s="33"/>
    </row>
    <row r="217" spans="5:5" x14ac:dyDescent="0.3">
      <c r="E217" s="33"/>
    </row>
    <row r="218" spans="5:5" x14ac:dyDescent="0.3">
      <c r="E218" s="33"/>
    </row>
    <row r="219" spans="5:5" x14ac:dyDescent="0.3">
      <c r="E219" s="33"/>
    </row>
    <row r="220" spans="5:5" x14ac:dyDescent="0.3">
      <c r="E220" s="33"/>
    </row>
    <row r="221" spans="5:5" x14ac:dyDescent="0.3">
      <c r="E221" s="33"/>
    </row>
    <row r="222" spans="5:5" x14ac:dyDescent="0.3">
      <c r="E222" s="33"/>
    </row>
    <row r="223" spans="5:5" x14ac:dyDescent="0.3">
      <c r="E223" s="33"/>
    </row>
    <row r="224" spans="5:5" x14ac:dyDescent="0.3">
      <c r="E224" s="33"/>
    </row>
    <row r="225" spans="5:5" x14ac:dyDescent="0.3">
      <c r="E225" s="33"/>
    </row>
    <row r="226" spans="5:5" x14ac:dyDescent="0.3">
      <c r="E226" s="33"/>
    </row>
    <row r="227" spans="5:5" x14ac:dyDescent="0.3">
      <c r="E227" s="33"/>
    </row>
    <row r="228" spans="5:5" x14ac:dyDescent="0.3">
      <c r="E228" s="33"/>
    </row>
    <row r="229" spans="5:5" x14ac:dyDescent="0.3">
      <c r="E229" s="33"/>
    </row>
    <row r="230" spans="5:5" x14ac:dyDescent="0.3">
      <c r="E230" s="33"/>
    </row>
    <row r="231" spans="5:5" x14ac:dyDescent="0.3">
      <c r="E231" s="33"/>
    </row>
  </sheetData>
  <sheetProtection algorithmName="SHA-512" hashValue="kmsrNmtwExoiIQDCPxCNEFNwYvTJPoS8ruII5wdOIL7XaJIDmzfYMsiGvEy++ij2uAlenlFEBJ4qlVfsJPJdjQ==" saltValue="dFx9DSQDCPfY7sIIDA9U8w==" spinCount="100000" sheet="1" objects="1" scenarios="1"/>
  <mergeCells count="2">
    <mergeCell ref="A6:C6"/>
    <mergeCell ref="A7:C7"/>
  </mergeCells>
  <dataValidations count="1">
    <dataValidation type="list" allowBlank="1" showInputMessage="1" showErrorMessage="1" sqref="E11:E231 C40:C231 C11:C37" xr:uid="{ED454943-3FE8-924F-99D4-A2E9ABA16592}">
      <formula1>"0,1,2,3"</formula1>
    </dataValidation>
  </dataValidations>
  <pageMargins left="0.7" right="0.7" top="0.75" bottom="0.75" header="0.3" footer="0.3"/>
  <pageSetup paperSize="9" orientation="portrait" horizontalDpi="0" verticalDpi="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F3C76-7A82-AE46-A2A6-F3174C826EF6}">
  <sheetPr>
    <tabColor theme="8"/>
  </sheetPr>
  <dimension ref="A1:AE230"/>
  <sheetViews>
    <sheetView workbookViewId="0"/>
  </sheetViews>
  <sheetFormatPr defaultColWidth="10.875" defaultRowHeight="19.5" x14ac:dyDescent="0.3"/>
  <cols>
    <col min="1" max="1" width="8.375" style="28" customWidth="1"/>
    <col min="2" max="2" width="106" style="28" customWidth="1"/>
    <col min="3" max="3" width="12.5" style="28" customWidth="1"/>
    <col min="4" max="4" width="10.875" style="103"/>
    <col min="5" max="5" width="10.875" style="28"/>
    <col min="6" max="6" width="54.125" style="28" customWidth="1"/>
    <col min="7" max="8" width="12.5" style="28" customWidth="1"/>
    <col min="9" max="9" width="13.625" style="28" bestFit="1" customWidth="1"/>
    <col min="10" max="10" width="150.125" style="28" bestFit="1" customWidth="1"/>
    <col min="11" max="11" width="24.5" style="28" bestFit="1" customWidth="1"/>
    <col min="12" max="30" width="10.875" style="28"/>
    <col min="31" max="31" width="10.875" style="66"/>
    <col min="32" max="16384" width="10.875" style="28"/>
  </cols>
  <sheetData>
    <row r="1" spans="1:31" s="20" customFormat="1" x14ac:dyDescent="0.3">
      <c r="D1" s="267"/>
      <c r="AE1" s="58"/>
    </row>
    <row r="2" spans="1:31" s="20" customFormat="1" ht="45.75" x14ac:dyDescent="0.3">
      <c r="A2" s="59" t="s">
        <v>1106</v>
      </c>
      <c r="D2" s="267"/>
      <c r="AE2" s="58"/>
    </row>
    <row r="3" spans="1:31" s="23" customFormat="1" ht="31.5" x14ac:dyDescent="0.5">
      <c r="A3" s="172" t="s">
        <v>1340</v>
      </c>
      <c r="D3" s="130"/>
      <c r="F3" s="130"/>
      <c r="G3" s="130"/>
      <c r="H3" s="130"/>
      <c r="I3" s="130"/>
      <c r="J3" s="130"/>
      <c r="AE3" s="61"/>
    </row>
    <row r="5" spans="1:31" x14ac:dyDescent="0.3">
      <c r="A5" s="131" t="s">
        <v>1365</v>
      </c>
      <c r="B5" s="132"/>
      <c r="C5" s="132"/>
    </row>
    <row r="6" spans="1:31" s="133" customFormat="1" x14ac:dyDescent="0.25">
      <c r="A6" s="369" t="s">
        <v>1392</v>
      </c>
      <c r="B6" s="370"/>
      <c r="C6" s="371"/>
      <c r="D6" s="268"/>
      <c r="AE6" s="134"/>
    </row>
    <row r="7" spans="1:31" s="133" customFormat="1" x14ac:dyDescent="0.25">
      <c r="A7" s="372"/>
      <c r="B7" s="373"/>
      <c r="C7" s="374"/>
      <c r="D7" s="268"/>
      <c r="AE7" s="134"/>
    </row>
    <row r="8" spans="1:31" ht="20.25" thickBot="1" x14ac:dyDescent="0.35"/>
    <row r="9" spans="1:31" x14ac:dyDescent="0.3">
      <c r="A9" s="138"/>
      <c r="B9" s="139"/>
      <c r="C9" s="140"/>
      <c r="D9" s="269"/>
      <c r="E9" s="216"/>
      <c r="F9" s="139" t="s">
        <v>132</v>
      </c>
      <c r="G9" s="141"/>
      <c r="H9" s="142" t="s">
        <v>1343</v>
      </c>
      <c r="I9" s="143"/>
      <c r="J9" s="139"/>
      <c r="K9" s="139"/>
    </row>
    <row r="10" spans="1:31" ht="75" x14ac:dyDescent="0.3">
      <c r="A10" s="144" t="s">
        <v>1</v>
      </c>
      <c r="B10" s="144" t="s">
        <v>2</v>
      </c>
      <c r="C10" s="145" t="s">
        <v>1070</v>
      </c>
      <c r="D10" s="269" t="s">
        <v>419</v>
      </c>
      <c r="E10" s="219"/>
      <c r="F10" s="146" t="s">
        <v>133</v>
      </c>
      <c r="G10" s="148" t="s">
        <v>134</v>
      </c>
      <c r="H10" s="148" t="s">
        <v>1364</v>
      </c>
      <c r="I10" s="148" t="s">
        <v>317</v>
      </c>
      <c r="J10" s="146" t="s">
        <v>136</v>
      </c>
      <c r="K10" s="146" t="s">
        <v>1448</v>
      </c>
    </row>
    <row r="11" spans="1:31" s="33" customFormat="1" x14ac:dyDescent="0.25">
      <c r="A11" s="149">
        <v>1</v>
      </c>
      <c r="B11" s="211" t="s">
        <v>1390</v>
      </c>
      <c r="C11" s="175"/>
      <c r="D11" s="209"/>
      <c r="F11" s="150" t="s">
        <v>1345</v>
      </c>
      <c r="G11" s="220" t="str" cm="1">
        <f t="array" ref="G11">IF(COUNTA(C$11:C$230)&gt;0,AVERAGE(SUMIF(A$11:A$230,{1,2,3,4,5},C$11:C$230)),"")</f>
        <v/>
      </c>
      <c r="H11" s="283" t="str" cm="1">
        <f t="array" ref="H11">IF(SUM(SUMIF(A$11:A$126,{1,2,3,4,5},C$11:C$126))=0, "",AVERAGE(IF(ISNUMBER(MATCH(SUMIF(A$11:A$126,{1,2,3,4,5},C$11:C$126),{4,5,6},0)),1,0)))</f>
        <v/>
      </c>
      <c r="I11" s="198" t="str" cm="1">
        <f t="array" ref="I11">_xlfn.IFS(G11="","",G11&lt;4,"Not elevated",AND(4&lt;=G11,G11&lt;5),"Elevated",G11&gt;=5,"Highly elevated")</f>
        <v/>
      </c>
      <c r="J11" s="221" t="s">
        <v>1080</v>
      </c>
      <c r="K11" s="221" t="s">
        <v>1468</v>
      </c>
      <c r="AE11" s="62"/>
    </row>
    <row r="12" spans="1:31" s="33" customFormat="1" x14ac:dyDescent="0.25">
      <c r="A12" s="155">
        <v>2</v>
      </c>
      <c r="B12" s="284" t="s">
        <v>1391</v>
      </c>
      <c r="C12" s="176"/>
      <c r="D12" s="209"/>
      <c r="F12" s="157" t="s">
        <v>1071</v>
      </c>
      <c r="G12" s="222" t="str" cm="1">
        <f t="array" ref="G12">IF(COUNTA(C$11:C$230)&gt;0,AVERAGE(SUMIF(A$11:A$230,{6,7,8,9,10,11,12,13},C$11:C$230)),"")</f>
        <v/>
      </c>
      <c r="H12" s="285" t="str" cm="1">
        <f t="array" ref="H12">IF(SUM(SUMIF(A$11:A$126,{6,7,8,9,10,11,12,13},C$11:C$126))=0, "",AVERAGE(IF(ISNUMBER(MATCH(SUMIF(A$11:A$126,{6,7,8,9,10,11,12,13},C$11:C$126),{4,5,6},0)),1,0)))</f>
        <v/>
      </c>
      <c r="I12" s="190" t="str" cm="1">
        <f t="array" ref="I12">_xlfn.IFS(G12="","",G12&lt;4,"Not elevated",AND(4&lt;=G12,G12&lt;5),"Elevated",G12&gt;=5,"Highly elevated")</f>
        <v/>
      </c>
      <c r="J12" s="223" t="s">
        <v>1081</v>
      </c>
      <c r="K12" s="223" t="s">
        <v>1554</v>
      </c>
      <c r="AE12" s="62"/>
    </row>
    <row r="13" spans="1:31" s="33" customFormat="1" x14ac:dyDescent="0.25">
      <c r="A13" s="149">
        <v>3</v>
      </c>
      <c r="B13" s="211" t="s">
        <v>1391</v>
      </c>
      <c r="C13" s="175"/>
      <c r="D13" s="209"/>
      <c r="F13" s="157" t="s">
        <v>1072</v>
      </c>
      <c r="G13" s="222" t="str" cm="1">
        <f t="array" ref="G13">IF(COUNTA(C$11:C$230)&gt;0,AVERAGE(SUMIF(A$11:A$230,{14,15,16,17,18},C$11:C$230)),"")</f>
        <v/>
      </c>
      <c r="H13" s="285" t="str" cm="1">
        <f t="array" ref="H13">IF(SUM(SUMIF(A$11:A$126,{14,15,16,17,18},C$11:C$126))=0, "",AVERAGE(IF(ISNUMBER(MATCH(SUMIF(A$11:A$126,{14,15,16,17,18},C$11:C$126),{4,5,6},0)),1,0)))</f>
        <v/>
      </c>
      <c r="I13" s="190" t="str" cm="1">
        <f t="array" ref="I13">_xlfn.IFS(G13="","",G13&lt;4,"Not elevated",AND(4&lt;=G13,G13&lt;5),"Elevated",G13&gt;=5,"Highly elevated")</f>
        <v/>
      </c>
      <c r="J13" s="223" t="s">
        <v>1082</v>
      </c>
      <c r="K13" s="223" t="s">
        <v>1555</v>
      </c>
      <c r="AE13" s="62"/>
    </row>
    <row r="14" spans="1:31" s="33" customFormat="1" x14ac:dyDescent="0.25">
      <c r="A14" s="155">
        <v>4</v>
      </c>
      <c r="B14" s="284" t="s">
        <v>1391</v>
      </c>
      <c r="C14" s="176"/>
      <c r="D14" s="209"/>
      <c r="F14" s="157" t="s">
        <v>1346</v>
      </c>
      <c r="G14" s="222" t="str" cm="1">
        <f t="array" ref="G14">IF(COUNTA(C$11:C$230)&gt;0,AVERAGE(SUMIF(A$11:A$230,{19,20,21,22,23},C$11:C$230)),"")</f>
        <v/>
      </c>
      <c r="H14" s="285" t="str" cm="1">
        <f t="array" ref="H14">IF(SUM(SUMIF(A$11:A$126,{19,20,21,22,23},C$11:C$126))=0, "",AVERAGE(IF(ISNUMBER(MATCH(SUMIF(A$11:A$126,{19,20,21,22,23},C$11:C$126),{4,5,6},0)),1,0)))</f>
        <v/>
      </c>
      <c r="I14" s="190" t="str" cm="1">
        <f t="array" ref="I14">_xlfn.IFS(G14="","",G14&lt;4,"Not elevated",AND(4&lt;=G14,G14&lt;5),"Elevated",G14&gt;=5,"Highly elevated")</f>
        <v/>
      </c>
      <c r="J14" s="223" t="s">
        <v>1083</v>
      </c>
      <c r="K14" s="223" t="s">
        <v>1556</v>
      </c>
      <c r="AE14" s="62"/>
    </row>
    <row r="15" spans="1:31" s="33" customFormat="1" x14ac:dyDescent="0.25">
      <c r="A15" s="149">
        <v>5</v>
      </c>
      <c r="B15" s="211" t="s">
        <v>1391</v>
      </c>
      <c r="C15" s="175"/>
      <c r="D15" s="209"/>
      <c r="F15" s="157" t="s">
        <v>1073</v>
      </c>
      <c r="G15" s="222" t="str" cm="1">
        <f t="array" ref="G15">IF(COUNTA(C$11:C$230)&gt;0,AVERAGE(SUMIF(A$11:A$230,{24,25,26,27,28,29},C$11:C$230)),"")</f>
        <v/>
      </c>
      <c r="H15" s="285" t="str" cm="1">
        <f t="array" ref="H15">IF(SUM(SUMIF(A$11:A$126,{24,25,26,27,28,29},C$11:C$126))=0, "",AVERAGE(IF(ISNUMBER(MATCH(SUMIF(A$11:A$126,{24,25,26,27,28,29},C$11:C$126),{4,5,6},0)),1,0)))</f>
        <v/>
      </c>
      <c r="I15" s="190" t="str" cm="1">
        <f t="array" ref="I15">_xlfn.IFS(G15="","",G15&lt;4,"Not elevated",AND(4&lt;=G15,G15&lt;5),"Elevated",G15&gt;=5,"Highly elevated")</f>
        <v/>
      </c>
      <c r="J15" s="223" t="s">
        <v>1084</v>
      </c>
      <c r="K15" s="223" t="s">
        <v>1557</v>
      </c>
      <c r="AE15" s="62"/>
    </row>
    <row r="16" spans="1:31" s="33" customFormat="1" x14ac:dyDescent="0.25">
      <c r="A16" s="155">
        <v>6</v>
      </c>
      <c r="B16" s="284" t="s">
        <v>1391</v>
      </c>
      <c r="C16" s="176"/>
      <c r="D16" s="209"/>
      <c r="F16" s="157" t="s">
        <v>1074</v>
      </c>
      <c r="G16" s="222" t="str" cm="1">
        <f t="array" ref="G16">IF(COUNTA(C$11:C$230)&gt;0,AVERAGE(SUMIF(A$11:A$230,{30,31,32,33,34,35},C$11:C$230)),"")</f>
        <v/>
      </c>
      <c r="H16" s="285" t="str" cm="1">
        <f t="array" ref="H16">IF(SUM(SUMIF(A$11:A$126,{30,31,32,33,34,35},C$11:C$126))=0, "",AVERAGE(IF(ISNUMBER(MATCH(SUMIF(A$11:A$126,{30,31,32,33,34,35},C$11:C$126),{4,5,6},0)),1,0)))</f>
        <v/>
      </c>
      <c r="I16" s="190" t="str" cm="1">
        <f t="array" ref="I16">_xlfn.IFS(G16="","",G16&lt;4,"Not elevated",AND(4&lt;=G16,G16&lt;5),"Elevated",G16&gt;=5,"Highly elevated")</f>
        <v/>
      </c>
      <c r="J16" s="223" t="s">
        <v>1085</v>
      </c>
      <c r="K16" s="223" t="s">
        <v>1558</v>
      </c>
      <c r="AE16" s="62"/>
    </row>
    <row r="17" spans="1:31" s="33" customFormat="1" x14ac:dyDescent="0.25">
      <c r="A17" s="149">
        <v>7</v>
      </c>
      <c r="B17" s="211" t="s">
        <v>1391</v>
      </c>
      <c r="C17" s="175"/>
      <c r="D17" s="209"/>
      <c r="F17" s="157" t="s">
        <v>1075</v>
      </c>
      <c r="G17" s="222" t="str" cm="1">
        <f t="array" ref="G17">IF(COUNTA(C$11:C$230)&gt;0,AVERAGE(SUMIF(A$11:A$230,{36,37,38,39,40,41,42,43},C$11:C$230)),"")</f>
        <v/>
      </c>
      <c r="H17" s="285" t="str" cm="1">
        <f t="array" ref="H17">IF(SUM(SUMIF(A$11:A$126,{36,37,38,39,40,41,42,43},C$11:C$126))=0, "",AVERAGE(IF(ISNUMBER(MATCH(SUMIF(A$11:A$126,{36,37,38,39,40,41,42,43},C$11:C$126),{4,5,6},0)),1,0)))</f>
        <v/>
      </c>
      <c r="I17" s="190" t="str" cm="1">
        <f t="array" ref="I17">_xlfn.IFS(G17="","",G17&lt;4,"Not elevated",AND(4&lt;=G17,G17&lt;5),"Elevated",G17&gt;=5,"Highly elevated")</f>
        <v/>
      </c>
      <c r="J17" s="223" t="s">
        <v>1086</v>
      </c>
      <c r="K17" s="223" t="s">
        <v>1559</v>
      </c>
      <c r="AE17" s="62"/>
    </row>
    <row r="18" spans="1:31" s="33" customFormat="1" x14ac:dyDescent="0.25">
      <c r="A18" s="155">
        <v>8</v>
      </c>
      <c r="B18" s="284" t="s">
        <v>1391</v>
      </c>
      <c r="C18" s="176"/>
      <c r="D18" s="209"/>
      <c r="F18" s="157" t="s">
        <v>1347</v>
      </c>
      <c r="G18" s="222" t="str" cm="1">
        <f t="array" ref="G18">IF(COUNTA(C$11:C$230)&gt;0,AVERAGE(SUMIF(A$11:A$230,{44,45,46,47,48,49},C$11:C$230)),"")</f>
        <v/>
      </c>
      <c r="H18" s="285" t="str" cm="1">
        <f t="array" ref="H18">IF(SUM(SUMIF(A$11:A$126,{44,45,46,47,48,49},C$11:C$126))=0, "",AVERAGE(IF(ISNUMBER(MATCH(SUMIF(A$11:A$126,{44,45,46,47,48,49},C$11:C$126),{4,5,6},0)),1,0)))</f>
        <v/>
      </c>
      <c r="I18" s="190" t="str" cm="1">
        <f t="array" ref="I18">_xlfn.IFS(G18="","",G18&lt;4,"Not elevated",AND(4&lt;=G18,G18&lt;5),"Elevated",G18&gt;=5,"Highly elevated")</f>
        <v/>
      </c>
      <c r="J18" s="223" t="s">
        <v>1087</v>
      </c>
      <c r="K18" s="223" t="s">
        <v>1560</v>
      </c>
      <c r="AE18" s="62"/>
    </row>
    <row r="19" spans="1:31" s="33" customFormat="1" x14ac:dyDescent="0.25">
      <c r="A19" s="149">
        <v>9</v>
      </c>
      <c r="B19" s="211" t="s">
        <v>1391</v>
      </c>
      <c r="C19" s="175"/>
      <c r="D19" s="209"/>
      <c r="F19" s="157" t="s">
        <v>1076</v>
      </c>
      <c r="G19" s="222" t="str" cm="1">
        <f t="array" ref="G19">IF(COUNTA(C$11:C$230)&gt;0,AVERAGE(SUMIF(A$11:A$230,{50,51,52,53,54,55,56},C$11:C$230)),"")</f>
        <v/>
      </c>
      <c r="H19" s="285" t="str" cm="1">
        <f t="array" ref="H19">IF(SUM(SUMIF(A$11:A$126,{50,51,52,53,54,55,56},C$11:C$126))=0, "",AVERAGE(IF(ISNUMBER(MATCH(SUMIF(A$11:A$126,{50,51,52,53,54,55,56},C$11:C$126),{4,5,6},0)),1,0)))</f>
        <v/>
      </c>
      <c r="I19" s="190" t="str" cm="1">
        <f t="array" ref="I19">_xlfn.IFS(G19="","",G19&lt;4,"Not elevated",AND(4&lt;=G19,G19&lt;5),"Elevated",G19&gt;=5,"Highly elevated")</f>
        <v/>
      </c>
      <c r="J19" s="223" t="s">
        <v>1088</v>
      </c>
      <c r="K19" s="223" t="s">
        <v>1561</v>
      </c>
      <c r="AE19" s="62"/>
    </row>
    <row r="20" spans="1:31" s="33" customFormat="1" x14ac:dyDescent="0.25">
      <c r="A20" s="155">
        <v>10</v>
      </c>
      <c r="B20" s="284" t="s">
        <v>1391</v>
      </c>
      <c r="C20" s="176"/>
      <c r="D20" s="209"/>
      <c r="F20" s="157" t="s">
        <v>1077</v>
      </c>
      <c r="G20" s="222" t="str" cm="1">
        <f t="array" ref="G20">IF(COUNTA(C$11:C$230)&gt;0,AVERAGE(SUMIF(A$11:A$230,{57,58,59,60,61},C$11:C$230)),"")</f>
        <v/>
      </c>
      <c r="H20" s="285" t="str" cm="1">
        <f t="array" ref="H20">IF(SUM(SUMIF(A$11:A$126,{57,58,59,60,61},C$11:C$126))=0, "",AVERAGE(IF(ISNUMBER(MATCH(SUMIF(A$11:A$126,{57,58,59,60,61},C$11:C$126),{4,5,6},0)),1,0)))</f>
        <v/>
      </c>
      <c r="I20" s="190" t="str" cm="1">
        <f t="array" ref="I20">_xlfn.IFS(G20="","",G20&lt;4,"Not elevated",AND(4&lt;=G20,G20&lt;5),"Elevated",G20&gt;=5,"Highly elevated")</f>
        <v/>
      </c>
      <c r="J20" s="223" t="s">
        <v>1089</v>
      </c>
      <c r="K20" s="223" t="s">
        <v>1562</v>
      </c>
      <c r="AE20" s="62"/>
    </row>
    <row r="21" spans="1:31" s="33" customFormat="1" x14ac:dyDescent="0.25">
      <c r="A21" s="149">
        <v>11</v>
      </c>
      <c r="B21" s="211" t="s">
        <v>1391</v>
      </c>
      <c r="C21" s="175"/>
      <c r="D21" s="209"/>
      <c r="F21" s="157" t="s">
        <v>1355</v>
      </c>
      <c r="G21" s="222" t="str" cm="1">
        <f t="array" ref="G21">IF(COUNTA(C$11:C$230)&gt;0,AVERAGE(SUMIF(A$11:A$230,{62,63,64,65,66,67},C$11:C$230)),"")</f>
        <v/>
      </c>
      <c r="H21" s="285" t="str" cm="1">
        <f t="array" ref="H21">IF(SUM(SUMIF(A$11:A$126,{62,63,64,65,66,67},C$11:C$126))=0, "",AVERAGE(IF(ISNUMBER(MATCH(SUMIF(A$11:A$126,{62,63,64,65,66,67},C$11:C$126),{4,5,6},0)),1,0)))</f>
        <v/>
      </c>
      <c r="I21" s="190" t="str" cm="1">
        <f t="array" ref="I21">_xlfn.IFS(G21="","",G21&lt;4,"Not elevated",AND(4&lt;=G21,G21&lt;5),"Elevated",G21&gt;=5,"Highly elevated")</f>
        <v/>
      </c>
      <c r="J21" s="223" t="s">
        <v>1090</v>
      </c>
      <c r="K21" s="223" t="s">
        <v>1563</v>
      </c>
      <c r="AE21" s="62"/>
    </row>
    <row r="22" spans="1:31" s="33" customFormat="1" x14ac:dyDescent="0.25">
      <c r="A22" s="155">
        <v>12</v>
      </c>
      <c r="B22" s="284" t="s">
        <v>1391</v>
      </c>
      <c r="C22" s="176"/>
      <c r="D22" s="209"/>
      <c r="F22" s="157" t="s">
        <v>1348</v>
      </c>
      <c r="G22" s="222" t="str" cm="1">
        <f t="array" ref="G22">IF(COUNTA(C$11:C$230)&gt;0,AVERAGE(SUMIF(A$11:A$230,{68,69,70,71},C$11:C$230)),"")</f>
        <v/>
      </c>
      <c r="H22" s="285" t="str" cm="1">
        <f t="array" ref="H22">IF(SUM(SUMIF(A$11:A$126,{68,69,70,71},C$11:C$126))=0, "",AVERAGE(IF(ISNUMBER(MATCH(SUMIF(A$11:A$126,{68,69,70,71},C$11:C$126),{4,5,6},0)),1,0)))</f>
        <v/>
      </c>
      <c r="I22" s="190" t="str" cm="1">
        <f t="array" ref="I22">_xlfn.IFS(G22="","",G22&lt;4,"Not elevated",AND(4&lt;=G22,G22&lt;5),"Elevated",G22&gt;=5,"Highly elevated")</f>
        <v/>
      </c>
      <c r="J22" s="223" t="s">
        <v>1091</v>
      </c>
      <c r="K22" s="223" t="s">
        <v>1564</v>
      </c>
      <c r="AE22" s="62"/>
    </row>
    <row r="23" spans="1:31" s="33" customFormat="1" x14ac:dyDescent="0.25">
      <c r="A23" s="149">
        <v>13</v>
      </c>
      <c r="B23" s="211" t="s">
        <v>1391</v>
      </c>
      <c r="C23" s="175"/>
      <c r="D23" s="209"/>
      <c r="F23" s="157" t="s">
        <v>1349</v>
      </c>
      <c r="G23" s="222" t="str" cm="1">
        <f t="array" ref="G23">IF(COUNTA(C$11:C$230)&gt;0,AVERAGE(SUMIF(A$11:A$230,{72,73,74,75,76},C$11:C$230)),"")</f>
        <v/>
      </c>
      <c r="H23" s="285" t="str" cm="1">
        <f t="array" ref="H23">IF(SUM(SUMIF(A$11:A$126,{72,73,74,75,76},C$11:C$126))=0, "",AVERAGE(IF(ISNUMBER(MATCH(SUMIF(A$11:A$126,{72,73,74,75,76},C$11:C$126),{4,5,6},0)),1,0)))</f>
        <v/>
      </c>
      <c r="I23" s="190" t="str" cm="1">
        <f t="array" ref="I23">_xlfn.IFS(G23="","",G23&lt;4,"Not elevated",AND(4&lt;=G23,G23&lt;5),"Elevated",G23&gt;=5,"Highly elevated")</f>
        <v/>
      </c>
      <c r="J23" s="223" t="s">
        <v>1092</v>
      </c>
      <c r="K23" s="223" t="s">
        <v>1565</v>
      </c>
      <c r="AE23" s="62"/>
    </row>
    <row r="24" spans="1:31" s="33" customFormat="1" x14ac:dyDescent="0.25">
      <c r="A24" s="155">
        <v>14</v>
      </c>
      <c r="B24" s="284" t="s">
        <v>1391</v>
      </c>
      <c r="C24" s="176"/>
      <c r="D24" s="209"/>
      <c r="F24" s="157" t="s">
        <v>1350</v>
      </c>
      <c r="G24" s="222" t="str" cm="1">
        <f t="array" ref="G24">IF(COUNTA(C$11:C$230)&gt;0,AVERAGE(SUMIF(A$11:A$230,{77,78,79,80,81,82,83},C$11:C$230)),"")</f>
        <v/>
      </c>
      <c r="H24" s="285" t="str" cm="1">
        <f t="array" ref="H24">IF(SUM(SUMIF(A$11:A$126,{77,78,79,80,81,82,83},C$11:C$126))=0, "",AVERAGE(IF(ISNUMBER(MATCH(SUMIF(A$11:A$126,{77,78,79,80,81,82,83},C$11:C$126),{4,5,6},0)),1,0)))</f>
        <v/>
      </c>
      <c r="I24" s="190" t="str" cm="1">
        <f t="array" ref="I24">_xlfn.IFS(G24="","",G24&lt;4,"Not elevated",AND(4&lt;=G24,G24&lt;5),"Elevated",G24&gt;=5,"Highly elevated")</f>
        <v/>
      </c>
      <c r="J24" s="223" t="s">
        <v>1093</v>
      </c>
      <c r="K24" s="223" t="s">
        <v>1566</v>
      </c>
      <c r="AE24" s="62"/>
    </row>
    <row r="25" spans="1:31" s="33" customFormat="1" x14ac:dyDescent="0.25">
      <c r="A25" s="149">
        <v>15</v>
      </c>
      <c r="B25" s="211" t="s">
        <v>1391</v>
      </c>
      <c r="C25" s="175"/>
      <c r="D25" s="209"/>
      <c r="F25" s="157" t="s">
        <v>1078</v>
      </c>
      <c r="G25" s="222" t="str" cm="1">
        <f t="array" ref="G25">IF(COUNTA(C$11:C$230)&gt;0,AVERAGE(SUMIF(A$11:A$230,{84,85,86,87,88,89},C$11:C$230)),"")</f>
        <v/>
      </c>
      <c r="H25" s="285" t="str" cm="1">
        <f t="array" ref="H25">IF(SUM(SUMIF(A$11:A$126,{84,85,86,87,88,89},C$11:C$126))=0, "",AVERAGE(IF(ISNUMBER(MATCH(SUMIF(A$11:A$126,{84,85,86,87,88,89},C$11:C$126),{4,5,6},0)),1,0)))</f>
        <v/>
      </c>
      <c r="I25" s="190" t="str" cm="1">
        <f t="array" ref="I25">_xlfn.IFS(G25="","",G25&lt;4,"Not elevated",AND(4&lt;=G25,G25&lt;5),"Elevated",G25&gt;=5,"Highly elevated")</f>
        <v/>
      </c>
      <c r="J25" s="223" t="s">
        <v>1094</v>
      </c>
      <c r="K25" s="223" t="s">
        <v>1567</v>
      </c>
      <c r="AE25" s="62"/>
    </row>
    <row r="26" spans="1:31" s="33" customFormat="1" x14ac:dyDescent="0.25">
      <c r="A26" s="155">
        <v>16</v>
      </c>
      <c r="B26" s="284" t="s">
        <v>1391</v>
      </c>
      <c r="C26" s="176"/>
      <c r="D26" s="209"/>
      <c r="F26" s="157" t="s">
        <v>1351</v>
      </c>
      <c r="G26" s="222" t="str" cm="1">
        <f t="array" ref="G26">IF(COUNTA(C$11:C$230)&gt;0,AVERAGE(SUMIF(A$11:A$230,{90,91,92,93,94,95,96},C$11:C$230)),"")</f>
        <v/>
      </c>
      <c r="H26" s="285" t="str" cm="1">
        <f t="array" ref="H26">IF(SUM(SUMIF(A$11:A$126,{90,91,92,93,94,95,96},C$11:C$126))=0, "",AVERAGE(IF(ISNUMBER(MATCH(SUMIF(A$11:A$126,{90,91,92,93,94,95,96},C$11:C$126),{4,5,6},0)),1,0)))</f>
        <v/>
      </c>
      <c r="I26" s="190" t="str" cm="1">
        <f t="array" ref="I26">_xlfn.IFS(G26="","",G26&lt;4,"Not elevated",AND(4&lt;=G26,G26&lt;5),"Elevated",G26&gt;=5,"Highly elevated")</f>
        <v/>
      </c>
      <c r="J26" s="223" t="s">
        <v>1095</v>
      </c>
      <c r="K26" s="223" t="s">
        <v>1568</v>
      </c>
      <c r="AE26" s="62"/>
    </row>
    <row r="27" spans="1:31" x14ac:dyDescent="0.3">
      <c r="A27" s="149">
        <v>17</v>
      </c>
      <c r="B27" s="211" t="s">
        <v>1391</v>
      </c>
      <c r="C27" s="175"/>
      <c r="D27" s="209"/>
      <c r="E27" s="33"/>
      <c r="F27" s="157" t="s">
        <v>1352</v>
      </c>
      <c r="G27" s="222" t="str" cm="1">
        <f t="array" ref="G27">IF(COUNTA(C$11:C$230)&gt;0,AVERAGE(SUMIF(A$11:A$230,{97,98,99,100,101},C$11:C$230)),"")</f>
        <v/>
      </c>
      <c r="H27" s="285" t="str" cm="1">
        <f t="array" ref="H27">IF(SUM(SUMIF(A$11:A$126,{97,98,99,100,101},C$11:C$126))=0, "",AVERAGE(IF(ISNUMBER(MATCH(SUMIF(A$11:A$126,{97,98,99,100,101},C$11:C$126),{4,5,6},0)),1,0)))</f>
        <v/>
      </c>
      <c r="I27" s="190" t="str" cm="1">
        <f t="array" ref="I27">_xlfn.IFS(G27="","",G27&lt;4,"Not elevated",AND(4&lt;=G27,G27&lt;5),"Elevated",G27&gt;=5,"Highly elevated")</f>
        <v/>
      </c>
      <c r="J27" s="223" t="s">
        <v>1096</v>
      </c>
      <c r="K27" s="223" t="s">
        <v>1569</v>
      </c>
    </row>
    <row r="28" spans="1:31" x14ac:dyDescent="0.3">
      <c r="A28" s="155">
        <v>18</v>
      </c>
      <c r="B28" s="284" t="s">
        <v>1391</v>
      </c>
      <c r="C28" s="176"/>
      <c r="D28" s="209"/>
      <c r="E28" s="33"/>
      <c r="F28" s="157" t="s">
        <v>1079</v>
      </c>
      <c r="G28" s="222" t="str" cm="1">
        <f t="array" ref="G28">IF(COUNTA(C$11:C$230)&gt;0,AVERAGE(SUMIF(A$11:A$230,{102,103,104,105,106,107},C$11:C$230)),"")</f>
        <v/>
      </c>
      <c r="H28" s="285" t="str" cm="1">
        <f t="array" ref="H28">IF(SUM(SUMIF(A$11:A$126,{102,103,104,105,106,107},C$11:C$126))=0, "",AVERAGE(IF(ISNUMBER(MATCH(SUMIF(A$11:A$126,{102,103,104,105,106,107},C$11:C$126),{4,5,6},0)),1,0)))</f>
        <v/>
      </c>
      <c r="I28" s="190" t="str" cm="1">
        <f t="array" ref="I28">_xlfn.IFS(G28="","",G28&lt;4,"Not elevated",AND(4&lt;=G28,G28&lt;5),"Elevated",G28&gt;=5,"Highly elevated")</f>
        <v/>
      </c>
      <c r="J28" s="223" t="s">
        <v>1097</v>
      </c>
      <c r="K28" s="223" t="s">
        <v>1570</v>
      </c>
    </row>
    <row r="29" spans="1:31" x14ac:dyDescent="0.3">
      <c r="A29" s="149">
        <v>19</v>
      </c>
      <c r="B29" s="211" t="s">
        <v>1391</v>
      </c>
      <c r="C29" s="175"/>
      <c r="D29" s="209"/>
      <c r="E29" s="33"/>
      <c r="F29" s="157" t="s">
        <v>1353</v>
      </c>
      <c r="G29" s="222" t="str" cm="1">
        <f t="array" ref="G29">IF(COUNTA(C$11:C$230)&gt;0,AVERAGE(SUMIF(A$11:A$230,{108,109,110,111,112},C$11:C$230)),"")</f>
        <v/>
      </c>
      <c r="H29" s="285" t="str" cm="1">
        <f t="array" ref="H29">IF(SUM(SUMIF(A$11:A$126,{108,109,110,111,112},C$11:C$126))=0, "",AVERAGE(IF(ISNUMBER(MATCH(SUMIF(A$11:A$126,{108,109,110,111,112},C$11:C$126),{4,5,6},0)),1,0)))</f>
        <v/>
      </c>
      <c r="I29" s="190" t="str" cm="1">
        <f t="array" ref="I29">_xlfn.IFS(G29="","",G29&lt;4,"Not elevated",AND(4&lt;=G29,G29&lt;5),"Elevated",G29&gt;=5,"Highly elevated")</f>
        <v/>
      </c>
      <c r="J29" s="223" t="s">
        <v>1098</v>
      </c>
      <c r="K29" s="223" t="s">
        <v>1571</v>
      </c>
    </row>
    <row r="30" spans="1:31" x14ac:dyDescent="0.3">
      <c r="A30" s="155">
        <v>20</v>
      </c>
      <c r="B30" s="284" t="s">
        <v>1391</v>
      </c>
      <c r="C30" s="176"/>
      <c r="D30" s="209"/>
      <c r="E30" s="33"/>
      <c r="F30" s="162" t="s">
        <v>1354</v>
      </c>
      <c r="G30" s="230" t="str" cm="1">
        <f t="array" ref="G30">IF(COUNTA(C$11:C$230)&gt;0,AVERAGE(SUMIF(A$11:A$230,{113,114,115,116},C$11:C$230)),"")</f>
        <v/>
      </c>
      <c r="H30" s="286" t="str" cm="1">
        <f t="array" ref="H30">IF(SUM(SUMIF(A$11:A$126,{113,114,115,116},C$11:C$126))=0, "",AVERAGE(IF(ISNUMBER(MATCH(SUMIF(A$11:A$126,{113,114,115,116},C$11:C$126),{4,5,6},0)),1,0)))</f>
        <v/>
      </c>
      <c r="I30" s="137" t="str" cm="1">
        <f t="array" ref="I30">_xlfn.IFS(G30="","",G30&lt;4,"Not elevated",AND(4&lt;=G30,G30&lt;5),"Elevated",G30&gt;=5,"Highly elevated")</f>
        <v/>
      </c>
      <c r="J30" s="231" t="s">
        <v>1099</v>
      </c>
      <c r="K30" s="231" t="s">
        <v>1572</v>
      </c>
    </row>
    <row r="31" spans="1:31" x14ac:dyDescent="0.3">
      <c r="A31" s="149">
        <v>21</v>
      </c>
      <c r="B31" s="211" t="s">
        <v>1391</v>
      </c>
      <c r="C31" s="175"/>
      <c r="D31" s="209"/>
      <c r="E31" s="33"/>
    </row>
    <row r="32" spans="1:31" x14ac:dyDescent="0.3">
      <c r="A32" s="155">
        <v>22</v>
      </c>
      <c r="B32" s="284" t="s">
        <v>1391</v>
      </c>
      <c r="C32" s="176"/>
      <c r="D32" s="209"/>
      <c r="E32" s="33"/>
    </row>
    <row r="33" spans="1:11" ht="21" x14ac:dyDescent="0.35">
      <c r="A33" s="149">
        <v>23</v>
      </c>
      <c r="B33" s="211" t="s">
        <v>1391</v>
      </c>
      <c r="C33" s="175"/>
      <c r="D33" s="209"/>
      <c r="E33" s="33"/>
      <c r="F33" s="166" t="s">
        <v>237</v>
      </c>
      <c r="G33" s="132"/>
      <c r="H33" s="132"/>
      <c r="I33" s="132"/>
      <c r="J33" s="132"/>
      <c r="K33" s="132"/>
    </row>
    <row r="34" spans="1:11" x14ac:dyDescent="0.3">
      <c r="A34" s="155">
        <v>24</v>
      </c>
      <c r="B34" s="284" t="s">
        <v>1391</v>
      </c>
      <c r="C34" s="176"/>
      <c r="D34" s="209"/>
      <c r="E34" s="33"/>
      <c r="F34" s="33" t="s">
        <v>1389</v>
      </c>
      <c r="G34" s="266"/>
      <c r="H34" s="266"/>
    </row>
    <row r="35" spans="1:11" x14ac:dyDescent="0.3">
      <c r="A35" s="149">
        <v>25</v>
      </c>
      <c r="B35" s="211" t="s">
        <v>1391</v>
      </c>
      <c r="C35" s="175"/>
      <c r="D35" s="209"/>
      <c r="E35" s="33"/>
      <c r="G35" s="266"/>
      <c r="H35" s="266"/>
    </row>
    <row r="36" spans="1:11" x14ac:dyDescent="0.3">
      <c r="A36" s="155">
        <v>26</v>
      </c>
      <c r="B36" s="284" t="s">
        <v>1391</v>
      </c>
      <c r="C36" s="176"/>
      <c r="D36" s="209"/>
      <c r="E36" s="33"/>
      <c r="F36" s="33" t="s">
        <v>1577</v>
      </c>
      <c r="G36" s="266"/>
      <c r="H36" s="266"/>
    </row>
    <row r="37" spans="1:11" x14ac:dyDescent="0.3">
      <c r="A37" s="149">
        <v>27</v>
      </c>
      <c r="B37" s="211" t="s">
        <v>1391</v>
      </c>
      <c r="C37" s="175"/>
      <c r="D37" s="209"/>
      <c r="E37" s="33"/>
      <c r="F37" s="33"/>
      <c r="G37" s="266"/>
      <c r="H37" s="266"/>
    </row>
    <row r="38" spans="1:11" x14ac:dyDescent="0.3">
      <c r="A38" s="155">
        <v>28</v>
      </c>
      <c r="B38" s="284" t="s">
        <v>1391</v>
      </c>
      <c r="C38" s="176"/>
      <c r="D38" s="209"/>
      <c r="E38" s="33"/>
      <c r="F38" s="51" t="s">
        <v>1649</v>
      </c>
      <c r="G38" s="266"/>
      <c r="H38" s="266"/>
    </row>
    <row r="39" spans="1:11" x14ac:dyDescent="0.3">
      <c r="A39" s="149">
        <v>29</v>
      </c>
      <c r="B39" s="211" t="s">
        <v>1391</v>
      </c>
      <c r="C39" s="175"/>
      <c r="D39" s="209"/>
      <c r="E39" s="33"/>
      <c r="F39" s="101" t="s">
        <v>1104</v>
      </c>
    </row>
    <row r="40" spans="1:11" x14ac:dyDescent="0.3">
      <c r="A40" s="155">
        <v>30</v>
      </c>
      <c r="B40" s="284" t="s">
        <v>1391</v>
      </c>
      <c r="C40" s="176"/>
      <c r="D40" s="209"/>
      <c r="E40" s="33"/>
      <c r="F40" s="101" t="s">
        <v>1342</v>
      </c>
    </row>
    <row r="41" spans="1:11" x14ac:dyDescent="0.3">
      <c r="A41" s="149">
        <v>31</v>
      </c>
      <c r="B41" s="211" t="s">
        <v>1391</v>
      </c>
      <c r="C41" s="175"/>
      <c r="D41" s="209"/>
      <c r="E41" s="33"/>
      <c r="F41" s="101" t="s">
        <v>1341</v>
      </c>
    </row>
    <row r="42" spans="1:11" x14ac:dyDescent="0.3">
      <c r="A42" s="155">
        <v>32</v>
      </c>
      <c r="B42" s="284" t="s">
        <v>1391</v>
      </c>
      <c r="C42" s="176"/>
      <c r="D42" s="209"/>
      <c r="E42" s="33"/>
      <c r="F42" s="101"/>
    </row>
    <row r="43" spans="1:11" x14ac:dyDescent="0.3">
      <c r="A43" s="149">
        <v>33</v>
      </c>
      <c r="B43" s="211" t="s">
        <v>1391</v>
      </c>
      <c r="C43" s="175"/>
      <c r="D43" s="209"/>
      <c r="E43" s="33"/>
      <c r="F43" s="101"/>
    </row>
    <row r="44" spans="1:11" x14ac:dyDescent="0.3">
      <c r="A44" s="155">
        <v>34</v>
      </c>
      <c r="B44" s="284" t="s">
        <v>1391</v>
      </c>
      <c r="C44" s="176"/>
      <c r="D44" s="209"/>
      <c r="E44" s="33"/>
      <c r="F44" s="101"/>
    </row>
    <row r="45" spans="1:11" x14ac:dyDescent="0.3">
      <c r="A45" s="149">
        <v>35</v>
      </c>
      <c r="B45" s="211" t="s">
        <v>1391</v>
      </c>
      <c r="C45" s="175"/>
      <c r="D45" s="209"/>
      <c r="E45" s="33"/>
    </row>
    <row r="46" spans="1:11" x14ac:dyDescent="0.3">
      <c r="A46" s="155">
        <v>36</v>
      </c>
      <c r="B46" s="284" t="s">
        <v>1391</v>
      </c>
      <c r="C46" s="176"/>
      <c r="D46" s="209"/>
      <c r="E46" s="33"/>
    </row>
    <row r="47" spans="1:11" x14ac:dyDescent="0.3">
      <c r="A47" s="149">
        <v>37</v>
      </c>
      <c r="B47" s="211" t="s">
        <v>1391</v>
      </c>
      <c r="C47" s="175"/>
      <c r="D47" s="209"/>
      <c r="E47" s="33"/>
    </row>
    <row r="48" spans="1:11" x14ac:dyDescent="0.3">
      <c r="A48" s="155">
        <v>38</v>
      </c>
      <c r="B48" s="284" t="s">
        <v>1391</v>
      </c>
      <c r="C48" s="176"/>
      <c r="D48" s="209"/>
      <c r="E48" s="33"/>
    </row>
    <row r="49" spans="1:5" x14ac:dyDescent="0.3">
      <c r="A49" s="149">
        <v>39</v>
      </c>
      <c r="B49" s="211" t="s">
        <v>1391</v>
      </c>
      <c r="C49" s="175"/>
      <c r="D49" s="209"/>
      <c r="E49" s="33"/>
    </row>
    <row r="50" spans="1:5" x14ac:dyDescent="0.3">
      <c r="A50" s="155">
        <v>40</v>
      </c>
      <c r="B50" s="284" t="s">
        <v>1391</v>
      </c>
      <c r="C50" s="176"/>
      <c r="D50" s="209"/>
      <c r="E50" s="33"/>
    </row>
    <row r="51" spans="1:5" x14ac:dyDescent="0.3">
      <c r="A51" s="149">
        <v>41</v>
      </c>
      <c r="B51" s="211" t="s">
        <v>1391</v>
      </c>
      <c r="C51" s="175"/>
      <c r="D51" s="209"/>
      <c r="E51" s="33"/>
    </row>
    <row r="52" spans="1:5" x14ac:dyDescent="0.3">
      <c r="A52" s="155">
        <v>42</v>
      </c>
      <c r="B52" s="284" t="s">
        <v>1391</v>
      </c>
      <c r="C52" s="176"/>
      <c r="D52" s="209"/>
      <c r="E52" s="33"/>
    </row>
    <row r="53" spans="1:5" x14ac:dyDescent="0.3">
      <c r="A53" s="149">
        <v>43</v>
      </c>
      <c r="B53" s="211" t="s">
        <v>1391</v>
      </c>
      <c r="C53" s="175"/>
      <c r="E53" s="33"/>
    </row>
    <row r="54" spans="1:5" x14ac:dyDescent="0.3">
      <c r="A54" s="155">
        <v>44</v>
      </c>
      <c r="B54" s="284" t="s">
        <v>1391</v>
      </c>
      <c r="C54" s="176"/>
      <c r="E54" s="33"/>
    </row>
    <row r="55" spans="1:5" x14ac:dyDescent="0.3">
      <c r="A55" s="149">
        <v>45</v>
      </c>
      <c r="B55" s="211" t="s">
        <v>1391</v>
      </c>
      <c r="C55" s="175"/>
      <c r="E55" s="33"/>
    </row>
    <row r="56" spans="1:5" x14ac:dyDescent="0.3">
      <c r="A56" s="155">
        <v>46</v>
      </c>
      <c r="B56" s="284" t="s">
        <v>1391</v>
      </c>
      <c r="C56" s="176"/>
      <c r="E56" s="33"/>
    </row>
    <row r="57" spans="1:5" x14ac:dyDescent="0.3">
      <c r="A57" s="149">
        <v>47</v>
      </c>
      <c r="B57" s="211" t="s">
        <v>1391</v>
      </c>
      <c r="C57" s="175"/>
      <c r="E57" s="33"/>
    </row>
    <row r="58" spans="1:5" x14ac:dyDescent="0.3">
      <c r="A58" s="155">
        <v>48</v>
      </c>
      <c r="B58" s="284" t="s">
        <v>1391</v>
      </c>
      <c r="C58" s="176"/>
      <c r="E58" s="33"/>
    </row>
    <row r="59" spans="1:5" x14ac:dyDescent="0.3">
      <c r="A59" s="149">
        <v>49</v>
      </c>
      <c r="B59" s="211" t="s">
        <v>1391</v>
      </c>
      <c r="C59" s="175"/>
      <c r="E59" s="33"/>
    </row>
    <row r="60" spans="1:5" x14ac:dyDescent="0.3">
      <c r="A60" s="155">
        <v>50</v>
      </c>
      <c r="B60" s="284" t="s">
        <v>1391</v>
      </c>
      <c r="C60" s="176"/>
      <c r="E60" s="33"/>
    </row>
    <row r="61" spans="1:5" x14ac:dyDescent="0.3">
      <c r="A61" s="149">
        <v>51</v>
      </c>
      <c r="B61" s="211" t="s">
        <v>1391</v>
      </c>
      <c r="C61" s="175"/>
      <c r="E61" s="33"/>
    </row>
    <row r="62" spans="1:5" x14ac:dyDescent="0.3">
      <c r="A62" s="155">
        <v>52</v>
      </c>
      <c r="B62" s="284" t="s">
        <v>1391</v>
      </c>
      <c r="C62" s="176"/>
      <c r="E62" s="33"/>
    </row>
    <row r="63" spans="1:5" x14ac:dyDescent="0.3">
      <c r="A63" s="149">
        <v>53</v>
      </c>
      <c r="B63" s="211" t="s">
        <v>1391</v>
      </c>
      <c r="C63" s="175"/>
      <c r="E63" s="33"/>
    </row>
    <row r="64" spans="1:5" x14ac:dyDescent="0.3">
      <c r="A64" s="155">
        <v>54</v>
      </c>
      <c r="B64" s="284" t="s">
        <v>1391</v>
      </c>
      <c r="C64" s="176"/>
      <c r="E64" s="33"/>
    </row>
    <row r="65" spans="1:5" x14ac:dyDescent="0.3">
      <c r="A65" s="149">
        <v>55</v>
      </c>
      <c r="B65" s="211" t="s">
        <v>1391</v>
      </c>
      <c r="C65" s="175"/>
      <c r="E65" s="33"/>
    </row>
    <row r="66" spans="1:5" x14ac:dyDescent="0.3">
      <c r="A66" s="155">
        <v>56</v>
      </c>
      <c r="B66" s="284" t="s">
        <v>1391</v>
      </c>
      <c r="C66" s="176"/>
      <c r="E66" s="33"/>
    </row>
    <row r="67" spans="1:5" x14ac:dyDescent="0.3">
      <c r="A67" s="149">
        <v>57</v>
      </c>
      <c r="B67" s="211" t="s">
        <v>1391</v>
      </c>
      <c r="C67" s="175"/>
      <c r="E67" s="33"/>
    </row>
    <row r="68" spans="1:5" x14ac:dyDescent="0.3">
      <c r="A68" s="155">
        <v>58</v>
      </c>
      <c r="B68" s="284" t="s">
        <v>1391</v>
      </c>
      <c r="C68" s="176"/>
      <c r="E68" s="33"/>
    </row>
    <row r="69" spans="1:5" x14ac:dyDescent="0.3">
      <c r="A69" s="149">
        <v>59</v>
      </c>
      <c r="B69" s="211" t="s">
        <v>1391</v>
      </c>
      <c r="C69" s="175"/>
      <c r="E69" s="33"/>
    </row>
    <row r="70" spans="1:5" x14ac:dyDescent="0.3">
      <c r="A70" s="155">
        <v>60</v>
      </c>
      <c r="B70" s="284" t="s">
        <v>1391</v>
      </c>
      <c r="C70" s="176"/>
      <c r="E70" s="33"/>
    </row>
    <row r="71" spans="1:5" x14ac:dyDescent="0.3">
      <c r="A71" s="149">
        <v>61</v>
      </c>
      <c r="B71" s="211" t="s">
        <v>1391</v>
      </c>
      <c r="C71" s="175"/>
      <c r="E71" s="33"/>
    </row>
    <row r="72" spans="1:5" x14ac:dyDescent="0.3">
      <c r="A72" s="155">
        <v>62</v>
      </c>
      <c r="B72" s="284" t="s">
        <v>1391</v>
      </c>
      <c r="C72" s="176"/>
      <c r="E72" s="33"/>
    </row>
    <row r="73" spans="1:5" x14ac:dyDescent="0.3">
      <c r="A73" s="149">
        <v>63</v>
      </c>
      <c r="B73" s="211" t="s">
        <v>1391</v>
      </c>
      <c r="C73" s="175"/>
      <c r="E73" s="33"/>
    </row>
    <row r="74" spans="1:5" x14ac:dyDescent="0.3">
      <c r="A74" s="155">
        <v>64</v>
      </c>
      <c r="B74" s="284" t="s">
        <v>1391</v>
      </c>
      <c r="C74" s="176"/>
      <c r="E74" s="33"/>
    </row>
    <row r="75" spans="1:5" x14ac:dyDescent="0.3">
      <c r="A75" s="149">
        <v>65</v>
      </c>
      <c r="B75" s="211" t="s">
        <v>1391</v>
      </c>
      <c r="C75" s="175"/>
      <c r="E75" s="33"/>
    </row>
    <row r="76" spans="1:5" x14ac:dyDescent="0.3">
      <c r="A76" s="155">
        <v>66</v>
      </c>
      <c r="B76" s="284" t="s">
        <v>1391</v>
      </c>
      <c r="C76" s="176"/>
      <c r="E76" s="33"/>
    </row>
    <row r="77" spans="1:5" x14ac:dyDescent="0.3">
      <c r="A77" s="149">
        <v>67</v>
      </c>
      <c r="B77" s="211" t="s">
        <v>1391</v>
      </c>
      <c r="C77" s="175"/>
      <c r="E77" s="33"/>
    </row>
    <row r="78" spans="1:5" x14ac:dyDescent="0.3">
      <c r="A78" s="155">
        <v>68</v>
      </c>
      <c r="B78" s="284" t="s">
        <v>1391</v>
      </c>
      <c r="C78" s="176"/>
      <c r="E78" s="33"/>
    </row>
    <row r="79" spans="1:5" x14ac:dyDescent="0.3">
      <c r="A79" s="149">
        <v>69</v>
      </c>
      <c r="B79" s="211" t="s">
        <v>1391</v>
      </c>
      <c r="C79" s="175"/>
      <c r="E79" s="33"/>
    </row>
    <row r="80" spans="1:5" x14ac:dyDescent="0.3">
      <c r="A80" s="155">
        <v>70</v>
      </c>
      <c r="B80" s="284" t="s">
        <v>1391</v>
      </c>
      <c r="C80" s="176"/>
      <c r="E80" s="33"/>
    </row>
    <row r="81" spans="1:5" x14ac:dyDescent="0.3">
      <c r="A81" s="149">
        <v>71</v>
      </c>
      <c r="B81" s="211" t="s">
        <v>1391</v>
      </c>
      <c r="C81" s="175"/>
      <c r="E81" s="33"/>
    </row>
    <row r="82" spans="1:5" x14ac:dyDescent="0.3">
      <c r="A82" s="155">
        <v>72</v>
      </c>
      <c r="B82" s="284" t="s">
        <v>1391</v>
      </c>
      <c r="C82" s="176"/>
      <c r="E82" s="33"/>
    </row>
    <row r="83" spans="1:5" x14ac:dyDescent="0.3">
      <c r="A83" s="149">
        <v>73</v>
      </c>
      <c r="B83" s="211" t="s">
        <v>1391</v>
      </c>
      <c r="C83" s="175"/>
      <c r="E83" s="33"/>
    </row>
    <row r="84" spans="1:5" x14ac:dyDescent="0.3">
      <c r="A84" s="155">
        <v>74</v>
      </c>
      <c r="B84" s="284" t="s">
        <v>1391</v>
      </c>
      <c r="C84" s="176"/>
      <c r="E84" s="33"/>
    </row>
    <row r="85" spans="1:5" x14ac:dyDescent="0.3">
      <c r="A85" s="149">
        <v>75</v>
      </c>
      <c r="B85" s="211" t="s">
        <v>1391</v>
      </c>
      <c r="C85" s="175"/>
      <c r="E85" s="33"/>
    </row>
    <row r="86" spans="1:5" x14ac:dyDescent="0.3">
      <c r="A86" s="155">
        <v>76</v>
      </c>
      <c r="B86" s="284" t="s">
        <v>1391</v>
      </c>
      <c r="C86" s="176"/>
      <c r="E86" s="33"/>
    </row>
    <row r="87" spans="1:5" x14ac:dyDescent="0.3">
      <c r="A87" s="149">
        <v>77</v>
      </c>
      <c r="B87" s="211" t="s">
        <v>1391</v>
      </c>
      <c r="C87" s="175"/>
      <c r="E87" s="33"/>
    </row>
    <row r="88" spans="1:5" x14ac:dyDescent="0.3">
      <c r="A88" s="155">
        <v>78</v>
      </c>
      <c r="B88" s="284" t="s">
        <v>1391</v>
      </c>
      <c r="C88" s="176"/>
      <c r="E88" s="33"/>
    </row>
    <row r="89" spans="1:5" x14ac:dyDescent="0.3">
      <c r="A89" s="149">
        <v>79</v>
      </c>
      <c r="B89" s="211" t="s">
        <v>1391</v>
      </c>
      <c r="C89" s="175"/>
      <c r="E89" s="33"/>
    </row>
    <row r="90" spans="1:5" x14ac:dyDescent="0.3">
      <c r="A90" s="155">
        <v>80</v>
      </c>
      <c r="B90" s="284" t="s">
        <v>1391</v>
      </c>
      <c r="C90" s="176"/>
      <c r="E90" s="33"/>
    </row>
    <row r="91" spans="1:5" x14ac:dyDescent="0.3">
      <c r="A91" s="149">
        <v>81</v>
      </c>
      <c r="B91" s="211" t="s">
        <v>1391</v>
      </c>
      <c r="C91" s="175"/>
      <c r="E91" s="33"/>
    </row>
    <row r="92" spans="1:5" x14ac:dyDescent="0.3">
      <c r="A92" s="155">
        <v>82</v>
      </c>
      <c r="B92" s="284" t="s">
        <v>1391</v>
      </c>
      <c r="C92" s="176"/>
      <c r="E92" s="33"/>
    </row>
    <row r="93" spans="1:5" x14ac:dyDescent="0.3">
      <c r="A93" s="149">
        <v>83</v>
      </c>
      <c r="B93" s="211" t="s">
        <v>1391</v>
      </c>
      <c r="C93" s="175"/>
      <c r="E93" s="33"/>
    </row>
    <row r="94" spans="1:5" x14ac:dyDescent="0.3">
      <c r="A94" s="155">
        <v>84</v>
      </c>
      <c r="B94" s="284" t="s">
        <v>1391</v>
      </c>
      <c r="C94" s="176"/>
      <c r="E94" s="33"/>
    </row>
    <row r="95" spans="1:5" x14ac:dyDescent="0.3">
      <c r="A95" s="149">
        <v>85</v>
      </c>
      <c r="B95" s="211" t="s">
        <v>1391</v>
      </c>
      <c r="C95" s="175"/>
      <c r="E95" s="33"/>
    </row>
    <row r="96" spans="1:5" x14ac:dyDescent="0.3">
      <c r="A96" s="155">
        <v>86</v>
      </c>
      <c r="B96" s="284" t="s">
        <v>1391</v>
      </c>
      <c r="C96" s="176"/>
      <c r="E96" s="33"/>
    </row>
    <row r="97" spans="1:5" x14ac:dyDescent="0.3">
      <c r="A97" s="149">
        <v>87</v>
      </c>
      <c r="B97" s="211" t="s">
        <v>1391</v>
      </c>
      <c r="C97" s="175"/>
      <c r="E97" s="33"/>
    </row>
    <row r="98" spans="1:5" x14ac:dyDescent="0.3">
      <c r="A98" s="155">
        <v>88</v>
      </c>
      <c r="B98" s="284" t="s">
        <v>1391</v>
      </c>
      <c r="C98" s="176"/>
      <c r="E98" s="33"/>
    </row>
    <row r="99" spans="1:5" x14ac:dyDescent="0.3">
      <c r="A99" s="149">
        <v>89</v>
      </c>
      <c r="B99" s="211" t="s">
        <v>1391</v>
      </c>
      <c r="C99" s="175"/>
      <c r="E99" s="33"/>
    </row>
    <row r="100" spans="1:5" x14ac:dyDescent="0.3">
      <c r="A100" s="155">
        <v>90</v>
      </c>
      <c r="B100" s="284" t="s">
        <v>1391</v>
      </c>
      <c r="C100" s="176"/>
      <c r="E100" s="33"/>
    </row>
    <row r="101" spans="1:5" x14ac:dyDescent="0.3">
      <c r="A101" s="149">
        <v>91</v>
      </c>
      <c r="B101" s="211" t="s">
        <v>1391</v>
      </c>
      <c r="C101" s="175"/>
      <c r="E101" s="33"/>
    </row>
    <row r="102" spans="1:5" x14ac:dyDescent="0.3">
      <c r="A102" s="155">
        <v>92</v>
      </c>
      <c r="B102" s="284" t="s">
        <v>1391</v>
      </c>
      <c r="C102" s="176"/>
      <c r="E102" s="33"/>
    </row>
    <row r="103" spans="1:5" x14ac:dyDescent="0.3">
      <c r="A103" s="149">
        <v>93</v>
      </c>
      <c r="B103" s="211" t="s">
        <v>1391</v>
      </c>
      <c r="C103" s="175"/>
      <c r="E103" s="33"/>
    </row>
    <row r="104" spans="1:5" x14ac:dyDescent="0.3">
      <c r="A104" s="155">
        <v>94</v>
      </c>
      <c r="B104" s="284" t="s">
        <v>1391</v>
      </c>
      <c r="C104" s="176"/>
      <c r="E104" s="33"/>
    </row>
    <row r="105" spans="1:5" x14ac:dyDescent="0.3">
      <c r="A105" s="149">
        <v>95</v>
      </c>
      <c r="B105" s="211" t="s">
        <v>1391</v>
      </c>
      <c r="C105" s="175"/>
      <c r="E105" s="33"/>
    </row>
    <row r="106" spans="1:5" x14ac:dyDescent="0.3">
      <c r="A106" s="155">
        <v>96</v>
      </c>
      <c r="B106" s="284" t="s">
        <v>1391</v>
      </c>
      <c r="C106" s="176"/>
      <c r="E106" s="33"/>
    </row>
    <row r="107" spans="1:5" x14ac:dyDescent="0.3">
      <c r="A107" s="149">
        <v>97</v>
      </c>
      <c r="B107" s="211" t="s">
        <v>1391</v>
      </c>
      <c r="C107" s="175"/>
      <c r="E107" s="33"/>
    </row>
    <row r="108" spans="1:5" x14ac:dyDescent="0.3">
      <c r="A108" s="155">
        <v>98</v>
      </c>
      <c r="B108" s="284" t="s">
        <v>1391</v>
      </c>
      <c r="C108" s="176"/>
      <c r="E108" s="33"/>
    </row>
    <row r="109" spans="1:5" x14ac:dyDescent="0.3">
      <c r="A109" s="149">
        <v>99</v>
      </c>
      <c r="B109" s="211" t="s">
        <v>1391</v>
      </c>
      <c r="C109" s="175"/>
      <c r="E109" s="33"/>
    </row>
    <row r="110" spans="1:5" x14ac:dyDescent="0.3">
      <c r="A110" s="155">
        <v>100</v>
      </c>
      <c r="B110" s="284" t="s">
        <v>1391</v>
      </c>
      <c r="C110" s="176"/>
      <c r="E110" s="33"/>
    </row>
    <row r="111" spans="1:5" x14ac:dyDescent="0.3">
      <c r="A111" s="149">
        <v>101</v>
      </c>
      <c r="B111" s="211" t="s">
        <v>1391</v>
      </c>
      <c r="C111" s="175"/>
      <c r="E111" s="33"/>
    </row>
    <row r="112" spans="1:5" x14ac:dyDescent="0.3">
      <c r="A112" s="155">
        <v>102</v>
      </c>
      <c r="B112" s="284" t="s">
        <v>1391</v>
      </c>
      <c r="C112" s="176"/>
      <c r="E112" s="33"/>
    </row>
    <row r="113" spans="1:5" x14ac:dyDescent="0.3">
      <c r="A113" s="149">
        <v>103</v>
      </c>
      <c r="B113" s="211" t="s">
        <v>1391</v>
      </c>
      <c r="C113" s="175"/>
      <c r="E113" s="33"/>
    </row>
    <row r="114" spans="1:5" x14ac:dyDescent="0.3">
      <c r="A114" s="155">
        <v>104</v>
      </c>
      <c r="B114" s="284" t="s">
        <v>1391</v>
      </c>
      <c r="C114" s="176"/>
      <c r="E114" s="33"/>
    </row>
    <row r="115" spans="1:5" x14ac:dyDescent="0.3">
      <c r="A115" s="149">
        <v>105</v>
      </c>
      <c r="B115" s="211" t="s">
        <v>1391</v>
      </c>
      <c r="C115" s="175"/>
      <c r="E115" s="33"/>
    </row>
    <row r="116" spans="1:5" x14ac:dyDescent="0.3">
      <c r="A116" s="155">
        <v>106</v>
      </c>
      <c r="B116" s="284" t="s">
        <v>1391</v>
      </c>
      <c r="C116" s="176"/>
      <c r="E116" s="33"/>
    </row>
    <row r="117" spans="1:5" x14ac:dyDescent="0.3">
      <c r="A117" s="149">
        <v>107</v>
      </c>
      <c r="B117" s="211" t="s">
        <v>1391</v>
      </c>
      <c r="C117" s="175"/>
      <c r="E117" s="33"/>
    </row>
    <row r="118" spans="1:5" x14ac:dyDescent="0.3">
      <c r="A118" s="155">
        <v>108</v>
      </c>
      <c r="B118" s="284" t="s">
        <v>1391</v>
      </c>
      <c r="C118" s="176"/>
      <c r="E118" s="33"/>
    </row>
    <row r="119" spans="1:5" x14ac:dyDescent="0.3">
      <c r="A119" s="149">
        <v>109</v>
      </c>
      <c r="B119" s="211" t="s">
        <v>1391</v>
      </c>
      <c r="C119" s="175"/>
      <c r="E119" s="33"/>
    </row>
    <row r="120" spans="1:5" x14ac:dyDescent="0.3">
      <c r="A120" s="155">
        <v>110</v>
      </c>
      <c r="B120" s="284" t="s">
        <v>1391</v>
      </c>
      <c r="C120" s="176"/>
      <c r="E120" s="33"/>
    </row>
    <row r="121" spans="1:5" x14ac:dyDescent="0.3">
      <c r="A121" s="149">
        <v>111</v>
      </c>
      <c r="B121" s="211" t="s">
        <v>1391</v>
      </c>
      <c r="C121" s="175"/>
      <c r="E121" s="33"/>
    </row>
    <row r="122" spans="1:5" x14ac:dyDescent="0.3">
      <c r="A122" s="155">
        <v>112</v>
      </c>
      <c r="B122" s="284" t="s">
        <v>1391</v>
      </c>
      <c r="C122" s="176"/>
      <c r="E122" s="33"/>
    </row>
    <row r="123" spans="1:5" x14ac:dyDescent="0.3">
      <c r="A123" s="149">
        <v>113</v>
      </c>
      <c r="B123" s="211" t="s">
        <v>1391</v>
      </c>
      <c r="C123" s="175"/>
      <c r="E123" s="33"/>
    </row>
    <row r="124" spans="1:5" x14ac:dyDescent="0.3">
      <c r="A124" s="155">
        <v>114</v>
      </c>
      <c r="B124" s="284" t="s">
        <v>1391</v>
      </c>
      <c r="C124" s="176"/>
      <c r="E124" s="33"/>
    </row>
    <row r="125" spans="1:5" x14ac:dyDescent="0.3">
      <c r="A125" s="149">
        <v>115</v>
      </c>
      <c r="B125" s="211" t="s">
        <v>1391</v>
      </c>
      <c r="C125" s="175"/>
      <c r="E125" s="33"/>
    </row>
    <row r="126" spans="1:5" ht="20.25" thickBot="1" x14ac:dyDescent="0.35">
      <c r="A126" s="173">
        <v>116</v>
      </c>
      <c r="B126" s="287" t="s">
        <v>1391</v>
      </c>
      <c r="C126" s="177"/>
      <c r="E126" s="33"/>
    </row>
    <row r="127" spans="1:5" x14ac:dyDescent="0.3">
      <c r="E127" s="33"/>
    </row>
    <row r="128" spans="1:5" x14ac:dyDescent="0.3">
      <c r="E128" s="33"/>
    </row>
    <row r="129" spans="1:5" x14ac:dyDescent="0.3">
      <c r="A129" s="131"/>
      <c r="B129" s="170" t="s">
        <v>797</v>
      </c>
      <c r="C129" s="131"/>
      <c r="E129" s="33"/>
    </row>
    <row r="130" spans="1:5" ht="32.25" x14ac:dyDescent="0.3">
      <c r="B130" s="186" t="s">
        <v>1393</v>
      </c>
      <c r="E130" s="33"/>
    </row>
    <row r="131" spans="1:5" x14ac:dyDescent="0.3">
      <c r="B131" s="68" t="s">
        <v>1415</v>
      </c>
      <c r="E131" s="33"/>
    </row>
    <row r="132" spans="1:5" x14ac:dyDescent="0.3">
      <c r="B132" s="204" t="s">
        <v>1414</v>
      </c>
      <c r="E132" s="33"/>
    </row>
    <row r="133" spans="1:5" x14ac:dyDescent="0.3">
      <c r="E133" s="33"/>
    </row>
    <row r="134" spans="1:5" x14ac:dyDescent="0.3">
      <c r="E134" s="33"/>
    </row>
    <row r="135" spans="1:5" x14ac:dyDescent="0.3">
      <c r="E135" s="33"/>
    </row>
    <row r="136" spans="1:5" x14ac:dyDescent="0.3">
      <c r="E136" s="33"/>
    </row>
    <row r="137" spans="1:5" x14ac:dyDescent="0.3">
      <c r="E137" s="33"/>
    </row>
    <row r="138" spans="1:5" x14ac:dyDescent="0.3">
      <c r="E138" s="33"/>
    </row>
    <row r="139" spans="1:5" x14ac:dyDescent="0.3">
      <c r="E139" s="33"/>
    </row>
    <row r="140" spans="1:5" x14ac:dyDescent="0.3">
      <c r="E140" s="33"/>
    </row>
    <row r="141" spans="1:5" x14ac:dyDescent="0.3">
      <c r="E141" s="33"/>
    </row>
    <row r="142" spans="1:5" x14ac:dyDescent="0.3">
      <c r="E142" s="33"/>
    </row>
    <row r="143" spans="1:5" x14ac:dyDescent="0.3">
      <c r="E143" s="33"/>
    </row>
    <row r="144" spans="1:5" x14ac:dyDescent="0.3">
      <c r="E144" s="33"/>
    </row>
    <row r="145" spans="5:5" x14ac:dyDescent="0.3">
      <c r="E145" s="33"/>
    </row>
    <row r="146" spans="5:5" x14ac:dyDescent="0.3">
      <c r="E146" s="33"/>
    </row>
    <row r="147" spans="5:5" x14ac:dyDescent="0.3">
      <c r="E147" s="33"/>
    </row>
    <row r="148" spans="5:5" x14ac:dyDescent="0.3">
      <c r="E148" s="33"/>
    </row>
    <row r="149" spans="5:5" x14ac:dyDescent="0.3">
      <c r="E149" s="33"/>
    </row>
    <row r="150" spans="5:5" x14ac:dyDescent="0.3">
      <c r="E150" s="33"/>
    </row>
    <row r="151" spans="5:5" x14ac:dyDescent="0.3">
      <c r="E151" s="33"/>
    </row>
    <row r="152" spans="5:5" x14ac:dyDescent="0.3">
      <c r="E152" s="33"/>
    </row>
    <row r="153" spans="5:5" x14ac:dyDescent="0.3">
      <c r="E153" s="33"/>
    </row>
    <row r="154" spans="5:5" x14ac:dyDescent="0.3">
      <c r="E154" s="33"/>
    </row>
    <row r="155" spans="5:5" x14ac:dyDescent="0.3">
      <c r="E155" s="33"/>
    </row>
    <row r="156" spans="5:5" x14ac:dyDescent="0.3">
      <c r="E156" s="33"/>
    </row>
    <row r="157" spans="5:5" x14ac:dyDescent="0.3">
      <c r="E157" s="33"/>
    </row>
    <row r="158" spans="5:5" x14ac:dyDescent="0.3">
      <c r="E158" s="33"/>
    </row>
    <row r="159" spans="5:5" x14ac:dyDescent="0.3">
      <c r="E159" s="33"/>
    </row>
    <row r="160" spans="5:5" x14ac:dyDescent="0.3">
      <c r="E160" s="33"/>
    </row>
    <row r="161" spans="5:5" x14ac:dyDescent="0.3">
      <c r="E161" s="33"/>
    </row>
    <row r="162" spans="5:5" x14ac:dyDescent="0.3">
      <c r="E162" s="33"/>
    </row>
    <row r="163" spans="5:5" x14ac:dyDescent="0.3">
      <c r="E163" s="33"/>
    </row>
    <row r="164" spans="5:5" x14ac:dyDescent="0.3">
      <c r="E164" s="33"/>
    </row>
    <row r="165" spans="5:5" x14ac:dyDescent="0.3">
      <c r="E165" s="33"/>
    </row>
    <row r="166" spans="5:5" x14ac:dyDescent="0.3">
      <c r="E166" s="33"/>
    </row>
    <row r="167" spans="5:5" x14ac:dyDescent="0.3">
      <c r="E167" s="33"/>
    </row>
    <row r="168" spans="5:5" x14ac:dyDescent="0.3">
      <c r="E168" s="33"/>
    </row>
    <row r="169" spans="5:5" x14ac:dyDescent="0.3">
      <c r="E169" s="33"/>
    </row>
    <row r="170" spans="5:5" x14ac:dyDescent="0.3">
      <c r="E170" s="33"/>
    </row>
    <row r="171" spans="5:5" x14ac:dyDescent="0.3">
      <c r="E171" s="33"/>
    </row>
    <row r="172" spans="5:5" x14ac:dyDescent="0.3">
      <c r="E172" s="33"/>
    </row>
    <row r="173" spans="5:5" x14ac:dyDescent="0.3">
      <c r="E173" s="33"/>
    </row>
    <row r="174" spans="5:5" x14ac:dyDescent="0.3">
      <c r="E174" s="33"/>
    </row>
    <row r="175" spans="5:5" x14ac:dyDescent="0.3">
      <c r="E175" s="33"/>
    </row>
    <row r="176" spans="5:5" x14ac:dyDescent="0.3">
      <c r="E176" s="33"/>
    </row>
    <row r="177" spans="5:5" x14ac:dyDescent="0.3">
      <c r="E177" s="33"/>
    </row>
    <row r="178" spans="5:5" x14ac:dyDescent="0.3">
      <c r="E178" s="33"/>
    </row>
    <row r="179" spans="5:5" x14ac:dyDescent="0.3">
      <c r="E179" s="33"/>
    </row>
    <row r="180" spans="5:5" x14ac:dyDescent="0.3">
      <c r="E180" s="33"/>
    </row>
    <row r="181" spans="5:5" x14ac:dyDescent="0.3">
      <c r="E181" s="33"/>
    </row>
    <row r="182" spans="5:5" x14ac:dyDescent="0.3">
      <c r="E182" s="33"/>
    </row>
    <row r="183" spans="5:5" x14ac:dyDescent="0.3">
      <c r="E183" s="33"/>
    </row>
    <row r="184" spans="5:5" x14ac:dyDescent="0.3">
      <c r="E184" s="33"/>
    </row>
    <row r="185" spans="5:5" x14ac:dyDescent="0.3">
      <c r="E185" s="33"/>
    </row>
    <row r="186" spans="5:5" x14ac:dyDescent="0.3">
      <c r="E186" s="33"/>
    </row>
    <row r="187" spans="5:5" x14ac:dyDescent="0.3">
      <c r="E187" s="33"/>
    </row>
    <row r="188" spans="5:5" x14ac:dyDescent="0.3">
      <c r="E188" s="33"/>
    </row>
    <row r="189" spans="5:5" x14ac:dyDescent="0.3">
      <c r="E189" s="33"/>
    </row>
    <row r="190" spans="5:5" x14ac:dyDescent="0.3">
      <c r="E190" s="33"/>
    </row>
    <row r="191" spans="5:5" x14ac:dyDescent="0.3">
      <c r="E191" s="33"/>
    </row>
    <row r="192" spans="5:5" x14ac:dyDescent="0.3">
      <c r="E192" s="33"/>
    </row>
    <row r="193" spans="5:5" x14ac:dyDescent="0.3">
      <c r="E193" s="33"/>
    </row>
    <row r="194" spans="5:5" x14ac:dyDescent="0.3">
      <c r="E194" s="33"/>
    </row>
    <row r="195" spans="5:5" x14ac:dyDescent="0.3">
      <c r="E195" s="33"/>
    </row>
    <row r="196" spans="5:5" x14ac:dyDescent="0.3">
      <c r="E196" s="33"/>
    </row>
    <row r="197" spans="5:5" x14ac:dyDescent="0.3">
      <c r="E197" s="33"/>
    </row>
    <row r="198" spans="5:5" x14ac:dyDescent="0.3">
      <c r="E198" s="33"/>
    </row>
    <row r="199" spans="5:5" x14ac:dyDescent="0.3">
      <c r="E199" s="33"/>
    </row>
    <row r="200" spans="5:5" x14ac:dyDescent="0.3">
      <c r="E200" s="33"/>
    </row>
    <row r="201" spans="5:5" x14ac:dyDescent="0.3">
      <c r="E201" s="33"/>
    </row>
    <row r="202" spans="5:5" x14ac:dyDescent="0.3">
      <c r="E202" s="33"/>
    </row>
    <row r="203" spans="5:5" x14ac:dyDescent="0.3">
      <c r="E203" s="33"/>
    </row>
    <row r="204" spans="5:5" x14ac:dyDescent="0.3">
      <c r="E204" s="33"/>
    </row>
    <row r="205" spans="5:5" x14ac:dyDescent="0.3">
      <c r="E205" s="33"/>
    </row>
    <row r="206" spans="5:5" x14ac:dyDescent="0.3">
      <c r="E206" s="33"/>
    </row>
    <row r="207" spans="5:5" x14ac:dyDescent="0.3">
      <c r="E207" s="33"/>
    </row>
    <row r="208" spans="5:5" x14ac:dyDescent="0.3">
      <c r="E208" s="33"/>
    </row>
    <row r="209" spans="5:5" x14ac:dyDescent="0.3">
      <c r="E209" s="33"/>
    </row>
    <row r="210" spans="5:5" x14ac:dyDescent="0.3">
      <c r="E210" s="33"/>
    </row>
    <row r="211" spans="5:5" x14ac:dyDescent="0.3">
      <c r="E211" s="33"/>
    </row>
    <row r="212" spans="5:5" x14ac:dyDescent="0.3">
      <c r="E212" s="33"/>
    </row>
    <row r="213" spans="5:5" x14ac:dyDescent="0.3">
      <c r="E213" s="33"/>
    </row>
    <row r="214" spans="5:5" x14ac:dyDescent="0.3">
      <c r="E214" s="33"/>
    </row>
    <row r="215" spans="5:5" x14ac:dyDescent="0.3">
      <c r="E215" s="33"/>
    </row>
    <row r="216" spans="5:5" x14ac:dyDescent="0.3">
      <c r="E216" s="33"/>
    </row>
    <row r="217" spans="5:5" x14ac:dyDescent="0.3">
      <c r="E217" s="33"/>
    </row>
    <row r="218" spans="5:5" x14ac:dyDescent="0.3">
      <c r="E218" s="33"/>
    </row>
    <row r="219" spans="5:5" x14ac:dyDescent="0.3">
      <c r="E219" s="33"/>
    </row>
    <row r="220" spans="5:5" x14ac:dyDescent="0.3">
      <c r="E220" s="33"/>
    </row>
    <row r="221" spans="5:5" x14ac:dyDescent="0.3">
      <c r="E221" s="33"/>
    </row>
    <row r="222" spans="5:5" x14ac:dyDescent="0.3">
      <c r="E222" s="33"/>
    </row>
    <row r="223" spans="5:5" x14ac:dyDescent="0.3">
      <c r="E223" s="33"/>
    </row>
    <row r="224" spans="5:5" x14ac:dyDescent="0.3">
      <c r="E224" s="33"/>
    </row>
    <row r="225" spans="5:5" x14ac:dyDescent="0.3">
      <c r="E225" s="33"/>
    </row>
    <row r="226" spans="5:5" x14ac:dyDescent="0.3">
      <c r="E226" s="33"/>
    </row>
    <row r="227" spans="5:5" x14ac:dyDescent="0.3">
      <c r="E227" s="33"/>
    </row>
    <row r="228" spans="5:5" x14ac:dyDescent="0.3">
      <c r="E228" s="33"/>
    </row>
    <row r="229" spans="5:5" x14ac:dyDescent="0.3">
      <c r="E229" s="33"/>
    </row>
    <row r="230" spans="5:5" x14ac:dyDescent="0.3">
      <c r="E230" s="33"/>
    </row>
  </sheetData>
  <sheetProtection algorithmName="SHA-512" hashValue="nY7zeXxxYllN06ol+LdjMzVsbSd/RGLNaZbUiMdxCEulXemgrSwyJQKQk42NX2pJ1NGAKjEg/w9S4+yxILh9iw==" saltValue="sXq+HoNe6yXOLbLaAhVW/Q==" spinCount="100000" sheet="1" objects="1" scenarios="1"/>
  <mergeCells count="1">
    <mergeCell ref="A6:C7"/>
  </mergeCells>
  <dataValidations count="1">
    <dataValidation type="list" allowBlank="1" showInputMessage="1" showErrorMessage="1" sqref="C11:C126" xr:uid="{C642F431-7AFE-1C47-8784-6F3AE63BC635}">
      <formula1>"1,2,3,4,5,6"</formula1>
    </dataValidation>
  </dataValidations>
  <hyperlinks>
    <hyperlink ref="B132" r:id="rId1" xr:uid="{323A3667-7D94-4435-ABBA-0106AF9DB91C}"/>
  </hyperlinks>
  <pageMargins left="0.7" right="0.7" top="0.75" bottom="0.75" header="0.3" footer="0.3"/>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57A8C-0180-0A43-9094-0443CF7D6579}">
  <sheetPr>
    <tabColor theme="4"/>
  </sheetPr>
  <dimension ref="A1:AE274"/>
  <sheetViews>
    <sheetView workbookViewId="0">
      <selection activeCell="H20" sqref="H20"/>
    </sheetView>
  </sheetViews>
  <sheetFormatPr defaultColWidth="10.875" defaultRowHeight="19.5" x14ac:dyDescent="0.3"/>
  <cols>
    <col min="1" max="1" width="33.5" style="28" customWidth="1"/>
    <col min="2" max="3" width="10.875" style="28"/>
    <col min="4" max="4" width="12.875" style="28" customWidth="1"/>
    <col min="5" max="5" width="14" style="28" customWidth="1"/>
    <col min="6" max="11" width="10.875" style="28"/>
    <col min="12" max="12" width="68.5" style="28" customWidth="1"/>
    <col min="13" max="30" width="10.875" style="28"/>
    <col min="31" max="31" width="10.875" style="66"/>
    <col min="32" max="16384" width="10.875" style="28"/>
  </cols>
  <sheetData>
    <row r="1" spans="1:31" s="20" customFormat="1" x14ac:dyDescent="0.3">
      <c r="AE1" s="58"/>
    </row>
    <row r="2" spans="1:31" s="20" customFormat="1" ht="45.75" x14ac:dyDescent="0.3">
      <c r="A2" s="59" t="s">
        <v>1106</v>
      </c>
      <c r="AE2" s="58"/>
    </row>
    <row r="3" spans="1:31" s="23" customFormat="1" ht="31.5" x14ac:dyDescent="0.5">
      <c r="A3" s="60" t="s">
        <v>299</v>
      </c>
      <c r="B3" s="60"/>
      <c r="C3" s="60"/>
      <c r="D3" s="288"/>
      <c r="E3" s="288"/>
      <c r="F3" s="60"/>
      <c r="G3" s="60"/>
      <c r="H3" s="60"/>
      <c r="I3" s="60"/>
      <c r="J3" s="60"/>
      <c r="AE3" s="61"/>
    </row>
    <row r="4" spans="1:31" s="20" customFormat="1" x14ac:dyDescent="0.3">
      <c r="A4" s="289" t="s">
        <v>300</v>
      </c>
      <c r="B4" s="290"/>
      <c r="C4" s="290"/>
      <c r="D4" s="290"/>
      <c r="E4" s="290"/>
      <c r="F4" s="290"/>
      <c r="G4" s="290"/>
      <c r="H4" s="290"/>
      <c r="I4" s="290"/>
      <c r="J4" s="290"/>
      <c r="AE4" s="58"/>
    </row>
    <row r="6" spans="1:31" ht="20.25" thickBot="1" x14ac:dyDescent="0.35"/>
    <row r="7" spans="1:31" ht="21" x14ac:dyDescent="0.35">
      <c r="A7" s="72" t="s">
        <v>1445</v>
      </c>
      <c r="B7" s="73"/>
      <c r="C7" s="73"/>
      <c r="D7" s="73"/>
      <c r="E7" s="73"/>
      <c r="F7" s="73"/>
      <c r="G7" s="73"/>
      <c r="L7" s="74" t="s">
        <v>857</v>
      </c>
      <c r="M7" s="29"/>
      <c r="N7" s="75"/>
      <c r="Q7" s="33"/>
      <c r="R7" s="33"/>
      <c r="S7" s="33"/>
      <c r="T7" s="33"/>
    </row>
    <row r="8" spans="1:31" x14ac:dyDescent="0.3">
      <c r="L8" s="76" t="s">
        <v>1445</v>
      </c>
      <c r="M8" s="77"/>
      <c r="N8" s="78"/>
    </row>
    <row r="9" spans="1:31" x14ac:dyDescent="0.3">
      <c r="A9" s="79" t="s">
        <v>363</v>
      </c>
      <c r="B9" s="81"/>
      <c r="C9" s="81"/>
      <c r="D9" s="81"/>
      <c r="E9" s="81"/>
      <c r="L9" s="83" t="s">
        <v>363</v>
      </c>
      <c r="M9" s="77"/>
      <c r="N9" s="78"/>
    </row>
    <row r="10" spans="1:31" x14ac:dyDescent="0.3">
      <c r="A10" s="291" t="s">
        <v>1126</v>
      </c>
      <c r="B10" s="292"/>
      <c r="C10" s="292"/>
      <c r="D10" s="292"/>
      <c r="E10" s="292"/>
      <c r="L10" s="83" t="s">
        <v>906</v>
      </c>
      <c r="M10" s="77"/>
      <c r="N10" s="78"/>
    </row>
    <row r="11" spans="1:31" s="293" customFormat="1" ht="51" customHeight="1" x14ac:dyDescent="0.3">
      <c r="A11" s="375" t="s">
        <v>1425</v>
      </c>
      <c r="B11" s="376"/>
      <c r="C11" s="376"/>
      <c r="D11" s="376"/>
      <c r="E11" s="376"/>
      <c r="L11" s="83" t="s">
        <v>664</v>
      </c>
      <c r="M11" s="77"/>
      <c r="N11" s="78"/>
      <c r="AE11" s="294"/>
    </row>
    <row r="12" spans="1:31" x14ac:dyDescent="0.3">
      <c r="L12" s="83" t="s">
        <v>710</v>
      </c>
      <c r="M12" s="77"/>
      <c r="N12" s="78"/>
    </row>
    <row r="13" spans="1:31" x14ac:dyDescent="0.3">
      <c r="L13" s="83" t="s">
        <v>678</v>
      </c>
      <c r="M13" s="77"/>
      <c r="N13" s="78"/>
    </row>
    <row r="14" spans="1:31" x14ac:dyDescent="0.3">
      <c r="A14" s="79" t="s">
        <v>906</v>
      </c>
      <c r="B14" s="81"/>
      <c r="C14" s="81"/>
      <c r="D14" s="81"/>
      <c r="E14" s="81"/>
      <c r="L14" s="83" t="s">
        <v>1327</v>
      </c>
      <c r="M14" s="77"/>
      <c r="N14" s="78"/>
    </row>
    <row r="15" spans="1:31" x14ac:dyDescent="0.3">
      <c r="A15" s="291" t="s">
        <v>1126</v>
      </c>
      <c r="B15" s="295"/>
      <c r="C15" s="295"/>
      <c r="D15" s="295"/>
      <c r="E15" s="295"/>
      <c r="L15" s="83" t="s">
        <v>1326</v>
      </c>
      <c r="M15" s="77"/>
      <c r="N15" s="78"/>
    </row>
    <row r="16" spans="1:31" s="293" customFormat="1" ht="51" customHeight="1" x14ac:dyDescent="0.3">
      <c r="A16" s="375" t="s">
        <v>1425</v>
      </c>
      <c r="B16" s="376"/>
      <c r="C16" s="376"/>
      <c r="D16" s="376"/>
      <c r="E16" s="376"/>
      <c r="L16" s="83" t="s">
        <v>854</v>
      </c>
      <c r="M16" s="77"/>
      <c r="N16" s="78"/>
      <c r="AE16" s="294"/>
    </row>
    <row r="17" spans="1:31" x14ac:dyDescent="0.3">
      <c r="L17" s="83" t="s">
        <v>1181</v>
      </c>
      <c r="M17" s="77"/>
      <c r="N17" s="78"/>
    </row>
    <row r="18" spans="1:31" x14ac:dyDescent="0.3">
      <c r="L18" s="83" t="s">
        <v>1178</v>
      </c>
      <c r="M18" s="77"/>
      <c r="N18" s="78"/>
    </row>
    <row r="19" spans="1:31" x14ac:dyDescent="0.3">
      <c r="A19" s="79" t="s">
        <v>664</v>
      </c>
      <c r="B19" s="81"/>
      <c r="C19" s="81"/>
      <c r="D19" s="81"/>
      <c r="E19" s="81"/>
      <c r="L19" s="83" t="s">
        <v>1180</v>
      </c>
      <c r="M19" s="77"/>
      <c r="N19" s="78"/>
    </row>
    <row r="20" spans="1:31" x14ac:dyDescent="0.3">
      <c r="A20" s="291" t="s">
        <v>1126</v>
      </c>
      <c r="B20" s="295"/>
      <c r="C20" s="295"/>
      <c r="D20" s="295"/>
      <c r="E20" s="295"/>
      <c r="L20" s="83" t="s">
        <v>742</v>
      </c>
      <c r="M20" s="77"/>
      <c r="N20" s="78"/>
    </row>
    <row r="21" spans="1:31" s="293" customFormat="1" ht="51" customHeight="1" x14ac:dyDescent="0.3">
      <c r="A21" s="375" t="s">
        <v>1139</v>
      </c>
      <c r="B21" s="376"/>
      <c r="C21" s="376"/>
      <c r="D21" s="376"/>
      <c r="E21" s="376"/>
      <c r="L21" s="76" t="s">
        <v>1112</v>
      </c>
      <c r="M21" s="77"/>
      <c r="N21" s="78"/>
      <c r="AE21" s="294"/>
    </row>
    <row r="22" spans="1:31" x14ac:dyDescent="0.3">
      <c r="L22" s="83" t="s">
        <v>0</v>
      </c>
      <c r="M22" s="84"/>
      <c r="N22" s="78"/>
    </row>
    <row r="23" spans="1:31" x14ac:dyDescent="0.3">
      <c r="L23" s="83" t="s">
        <v>1171</v>
      </c>
      <c r="M23" s="84"/>
      <c r="N23" s="78"/>
    </row>
    <row r="24" spans="1:31" x14ac:dyDescent="0.3">
      <c r="A24" s="79" t="s">
        <v>710</v>
      </c>
      <c r="B24" s="81"/>
      <c r="C24" s="81"/>
      <c r="D24" s="81"/>
      <c r="E24" s="81"/>
      <c r="L24" s="83" t="s">
        <v>27</v>
      </c>
      <c r="M24" s="84"/>
      <c r="N24" s="78"/>
    </row>
    <row r="25" spans="1:31" x14ac:dyDescent="0.3">
      <c r="A25" s="291" t="s">
        <v>1126</v>
      </c>
      <c r="B25" s="295"/>
      <c r="C25" s="295"/>
      <c r="D25" s="295"/>
      <c r="E25" s="295"/>
      <c r="L25" s="83" t="s">
        <v>28</v>
      </c>
      <c r="M25" s="84"/>
      <c r="N25" s="78"/>
    </row>
    <row r="26" spans="1:31" s="293" customFormat="1" ht="35.1" customHeight="1" x14ac:dyDescent="0.3">
      <c r="A26" s="375" t="s">
        <v>1140</v>
      </c>
      <c r="B26" s="376"/>
      <c r="C26" s="376"/>
      <c r="D26" s="376"/>
      <c r="E26" s="376"/>
      <c r="L26" s="83" t="s">
        <v>853</v>
      </c>
      <c r="M26" s="84"/>
      <c r="N26" s="78"/>
      <c r="AE26" s="294"/>
    </row>
    <row r="27" spans="1:31" x14ac:dyDescent="0.3">
      <c r="L27" s="83" t="s">
        <v>29</v>
      </c>
      <c r="M27" s="84"/>
      <c r="N27" s="78"/>
    </row>
    <row r="28" spans="1:31" x14ac:dyDescent="0.3">
      <c r="L28" s="83" t="s">
        <v>318</v>
      </c>
      <c r="M28" s="84"/>
      <c r="N28" s="78"/>
    </row>
    <row r="29" spans="1:31" x14ac:dyDescent="0.3">
      <c r="A29" s="79" t="s">
        <v>678</v>
      </c>
      <c r="B29" s="81"/>
      <c r="C29" s="81"/>
      <c r="D29" s="81"/>
      <c r="E29" s="81"/>
      <c r="L29" s="83" t="s">
        <v>1182</v>
      </c>
      <c r="M29" s="84"/>
      <c r="N29" s="78"/>
    </row>
    <row r="30" spans="1:31" x14ac:dyDescent="0.3">
      <c r="A30" s="291" t="s">
        <v>1126</v>
      </c>
      <c r="B30" s="295"/>
      <c r="C30" s="295"/>
      <c r="D30" s="295"/>
      <c r="E30" s="295"/>
      <c r="L30" s="83" t="s">
        <v>859</v>
      </c>
      <c r="M30" s="84"/>
      <c r="N30" s="78"/>
    </row>
    <row r="31" spans="1:31" s="293" customFormat="1" ht="35.1" customHeight="1" x14ac:dyDescent="0.3">
      <c r="A31" s="375" t="s">
        <v>1141</v>
      </c>
      <c r="B31" s="376"/>
      <c r="C31" s="376"/>
      <c r="D31" s="376"/>
      <c r="E31" s="376"/>
      <c r="L31" s="76" t="s">
        <v>1446</v>
      </c>
      <c r="M31" s="77"/>
      <c r="N31" s="78"/>
      <c r="AE31" s="294"/>
    </row>
    <row r="32" spans="1:31" x14ac:dyDescent="0.3">
      <c r="L32" s="83" t="s">
        <v>945</v>
      </c>
      <c r="M32" s="77"/>
      <c r="N32" s="78"/>
    </row>
    <row r="33" spans="1:31" x14ac:dyDescent="0.3">
      <c r="L33" s="83" t="s">
        <v>1122</v>
      </c>
      <c r="M33" s="77"/>
      <c r="N33" s="78"/>
    </row>
    <row r="34" spans="1:31" x14ac:dyDescent="0.3">
      <c r="A34" s="79" t="s">
        <v>1327</v>
      </c>
      <c r="B34" s="81"/>
      <c r="C34" s="81"/>
      <c r="D34" s="81"/>
      <c r="E34" s="81"/>
      <c r="L34" s="83" t="s">
        <v>1123</v>
      </c>
      <c r="M34" s="77"/>
      <c r="N34" s="78"/>
    </row>
    <row r="35" spans="1:31" x14ac:dyDescent="0.3">
      <c r="A35" s="291" t="s">
        <v>1126</v>
      </c>
      <c r="B35" s="295"/>
      <c r="C35" s="295"/>
      <c r="D35" s="295"/>
      <c r="E35" s="295"/>
      <c r="L35" s="83" t="s">
        <v>946</v>
      </c>
      <c r="M35" s="77"/>
      <c r="N35" s="78"/>
    </row>
    <row r="36" spans="1:31" s="293" customFormat="1" ht="36.75" customHeight="1" x14ac:dyDescent="0.3">
      <c r="A36" s="391" t="s">
        <v>1368</v>
      </c>
      <c r="B36" s="394"/>
      <c r="C36" s="394"/>
      <c r="D36" s="394"/>
      <c r="E36" s="394"/>
      <c r="L36" s="76" t="s">
        <v>1447</v>
      </c>
      <c r="M36" s="77"/>
      <c r="N36" s="78"/>
      <c r="AE36" s="294"/>
    </row>
    <row r="37" spans="1:31" x14ac:dyDescent="0.3">
      <c r="L37" s="83" t="s">
        <v>855</v>
      </c>
      <c r="M37" s="84"/>
      <c r="N37" s="78"/>
    </row>
    <row r="38" spans="1:31" x14ac:dyDescent="0.3">
      <c r="L38" s="83" t="s">
        <v>713</v>
      </c>
      <c r="M38" s="84"/>
      <c r="N38" s="78"/>
    </row>
    <row r="39" spans="1:31" x14ac:dyDescent="0.3">
      <c r="A39" s="79" t="s">
        <v>1326</v>
      </c>
      <c r="B39" s="81"/>
      <c r="C39" s="81"/>
      <c r="D39" s="81"/>
      <c r="E39" s="81"/>
      <c r="L39" s="83" t="s">
        <v>1340</v>
      </c>
      <c r="M39" s="77"/>
      <c r="N39" s="78"/>
    </row>
    <row r="40" spans="1:31" ht="20.25" thickBot="1" x14ac:dyDescent="0.35">
      <c r="A40" s="291" t="s">
        <v>1126</v>
      </c>
      <c r="B40" s="295"/>
      <c r="C40" s="295"/>
      <c r="D40" s="295"/>
      <c r="E40" s="295"/>
      <c r="L40" s="97"/>
      <c r="M40" s="98"/>
      <c r="N40" s="99"/>
    </row>
    <row r="41" spans="1:31" s="293" customFormat="1" ht="35.25" customHeight="1" x14ac:dyDescent="0.25">
      <c r="A41" s="391" t="s">
        <v>1426</v>
      </c>
      <c r="B41" s="394"/>
      <c r="C41" s="394"/>
      <c r="D41" s="394"/>
      <c r="E41" s="394"/>
      <c r="L41" s="28"/>
      <c r="M41" s="28"/>
      <c r="N41" s="28"/>
      <c r="AE41" s="294"/>
    </row>
    <row r="44" spans="1:31" x14ac:dyDescent="0.3">
      <c r="A44" s="79" t="s">
        <v>741</v>
      </c>
      <c r="B44" s="81"/>
      <c r="C44" s="81"/>
      <c r="D44" s="81"/>
      <c r="E44" s="81"/>
    </row>
    <row r="45" spans="1:31" x14ac:dyDescent="0.3">
      <c r="A45" s="291" t="s">
        <v>1126</v>
      </c>
      <c r="B45" s="295"/>
      <c r="C45" s="295"/>
      <c r="D45" s="295"/>
      <c r="E45" s="295"/>
    </row>
    <row r="46" spans="1:31" s="293" customFormat="1" ht="35.1" customHeight="1" x14ac:dyDescent="0.25">
      <c r="A46" s="384" t="s">
        <v>807</v>
      </c>
      <c r="B46" s="376"/>
      <c r="C46" s="376"/>
      <c r="D46" s="376"/>
      <c r="E46" s="376"/>
      <c r="L46" s="28"/>
      <c r="M46" s="28"/>
      <c r="N46" s="28"/>
      <c r="AE46" s="294"/>
    </row>
    <row r="49" spans="1:31" x14ac:dyDescent="0.3">
      <c r="A49" s="79" t="s">
        <v>1181</v>
      </c>
      <c r="B49" s="81"/>
      <c r="C49" s="81"/>
      <c r="D49" s="81"/>
      <c r="E49" s="81"/>
      <c r="M49" s="293"/>
      <c r="N49" s="293"/>
    </row>
    <row r="50" spans="1:31" x14ac:dyDescent="0.3">
      <c r="A50" s="296" t="s">
        <v>1126</v>
      </c>
      <c r="B50" s="297"/>
      <c r="C50" s="297"/>
      <c r="D50" s="297"/>
      <c r="E50" s="297"/>
    </row>
    <row r="51" spans="1:31" s="293" customFormat="1" ht="21" customHeight="1" x14ac:dyDescent="0.25">
      <c r="A51" s="384" t="s">
        <v>1420</v>
      </c>
      <c r="B51" s="393"/>
      <c r="C51" s="393"/>
      <c r="D51" s="393"/>
      <c r="E51" s="393"/>
      <c r="M51" s="28"/>
      <c r="N51" s="28"/>
      <c r="AE51" s="294"/>
    </row>
    <row r="54" spans="1:31" x14ac:dyDescent="0.3">
      <c r="A54" s="79" t="s">
        <v>1178</v>
      </c>
      <c r="B54" s="81"/>
      <c r="C54" s="81"/>
      <c r="D54" s="81"/>
      <c r="E54" s="81"/>
      <c r="M54" s="293"/>
      <c r="N54" s="293"/>
    </row>
    <row r="55" spans="1:31" x14ac:dyDescent="0.3">
      <c r="A55" s="296" t="s">
        <v>1126</v>
      </c>
      <c r="B55" s="297"/>
      <c r="C55" s="297"/>
      <c r="D55" s="297"/>
      <c r="E55" s="297"/>
    </row>
    <row r="56" spans="1:31" s="293" customFormat="1" ht="51" customHeight="1" x14ac:dyDescent="0.25">
      <c r="A56" s="377" t="s">
        <v>1421</v>
      </c>
      <c r="B56" s="378"/>
      <c r="C56" s="378"/>
      <c r="D56" s="378"/>
      <c r="E56" s="378"/>
      <c r="M56" s="28"/>
      <c r="N56" s="28"/>
      <c r="AE56" s="294"/>
    </row>
    <row r="59" spans="1:31" x14ac:dyDescent="0.3">
      <c r="A59" s="79" t="s">
        <v>1180</v>
      </c>
      <c r="B59" s="81"/>
      <c r="C59" s="81"/>
      <c r="D59" s="81"/>
      <c r="E59" s="81"/>
      <c r="M59" s="293"/>
      <c r="N59" s="293"/>
      <c r="Q59" s="33"/>
      <c r="R59" s="33"/>
      <c r="S59" s="33"/>
      <c r="T59" s="33"/>
    </row>
    <row r="60" spans="1:31" x14ac:dyDescent="0.3">
      <c r="A60" s="296" t="s">
        <v>1126</v>
      </c>
      <c r="B60" s="297"/>
      <c r="C60" s="297"/>
      <c r="D60" s="297"/>
      <c r="E60" s="297"/>
    </row>
    <row r="61" spans="1:31" ht="51" customHeight="1" x14ac:dyDescent="0.3">
      <c r="A61" s="377" t="s">
        <v>1422</v>
      </c>
      <c r="B61" s="393"/>
      <c r="C61" s="393"/>
      <c r="D61" s="393"/>
      <c r="E61" s="393"/>
      <c r="L61" s="293"/>
    </row>
    <row r="64" spans="1:31" x14ac:dyDescent="0.3">
      <c r="A64" s="79" t="s">
        <v>742</v>
      </c>
      <c r="B64" s="81"/>
      <c r="C64" s="81"/>
      <c r="D64" s="81"/>
      <c r="E64" s="81"/>
      <c r="G64" s="298"/>
      <c r="H64" s="298"/>
      <c r="I64" s="298"/>
      <c r="M64" s="293"/>
      <c r="N64" s="293"/>
    </row>
    <row r="65" spans="1:31" x14ac:dyDescent="0.3">
      <c r="A65" s="291" t="s">
        <v>1126</v>
      </c>
      <c r="B65" s="295"/>
      <c r="C65" s="295"/>
      <c r="D65" s="295"/>
      <c r="E65" s="295"/>
    </row>
    <row r="66" spans="1:31" ht="35.1" customHeight="1" x14ac:dyDescent="0.3">
      <c r="A66" s="384" t="s">
        <v>833</v>
      </c>
      <c r="B66" s="385"/>
      <c r="C66" s="385"/>
      <c r="D66" s="385"/>
      <c r="E66" s="385"/>
      <c r="L66" s="293"/>
    </row>
    <row r="69" spans="1:31" ht="21" x14ac:dyDescent="0.35">
      <c r="A69" s="72" t="s">
        <v>1112</v>
      </c>
      <c r="B69" s="73"/>
      <c r="C69" s="73"/>
      <c r="D69" s="73"/>
      <c r="E69" s="73"/>
      <c r="F69" s="73"/>
      <c r="G69" s="73"/>
      <c r="M69" s="293"/>
      <c r="N69" s="293"/>
    </row>
    <row r="71" spans="1:31" x14ac:dyDescent="0.3">
      <c r="A71" s="79" t="s">
        <v>0</v>
      </c>
      <c r="B71" s="81"/>
      <c r="C71" s="81"/>
      <c r="D71" s="81"/>
      <c r="E71" s="81"/>
    </row>
    <row r="72" spans="1:31" x14ac:dyDescent="0.3">
      <c r="A72" s="299"/>
      <c r="B72" s="386" t="s">
        <v>151</v>
      </c>
      <c r="C72" s="387"/>
      <c r="D72" s="387"/>
      <c r="E72" s="388"/>
    </row>
    <row r="73" spans="1:31" x14ac:dyDescent="0.3">
      <c r="A73" s="73" t="s">
        <v>133</v>
      </c>
      <c r="B73" s="86" t="s">
        <v>152</v>
      </c>
      <c r="C73" s="87" t="s">
        <v>153</v>
      </c>
      <c r="D73" s="87" t="s">
        <v>223</v>
      </c>
      <c r="E73" s="300" t="s">
        <v>154</v>
      </c>
    </row>
    <row r="74" spans="1:31" x14ac:dyDescent="0.3">
      <c r="A74" s="28" t="s">
        <v>226</v>
      </c>
      <c r="B74" s="89">
        <v>13.38</v>
      </c>
      <c r="C74" s="301">
        <v>6.41</v>
      </c>
      <c r="D74" s="301" t="s">
        <v>284</v>
      </c>
      <c r="E74" s="302">
        <v>0.89</v>
      </c>
      <c r="M74" s="293"/>
      <c r="N74" s="293"/>
    </row>
    <row r="75" spans="1:31" x14ac:dyDescent="0.3">
      <c r="A75" s="28" t="s">
        <v>227</v>
      </c>
      <c r="B75" s="89">
        <v>11.3</v>
      </c>
      <c r="C75" s="301">
        <v>5.76</v>
      </c>
      <c r="D75" s="301" t="s">
        <v>284</v>
      </c>
      <c r="E75" s="302">
        <v>0.89</v>
      </c>
    </row>
    <row r="76" spans="1:31" s="293" customFormat="1" x14ac:dyDescent="0.25">
      <c r="A76" s="28" t="s">
        <v>228</v>
      </c>
      <c r="B76" s="89">
        <v>15.35</v>
      </c>
      <c r="C76" s="301">
        <v>6.89</v>
      </c>
      <c r="D76" s="301" t="s">
        <v>284</v>
      </c>
      <c r="E76" s="302">
        <v>0.91</v>
      </c>
      <c r="L76" s="28"/>
      <c r="M76" s="28"/>
      <c r="N76" s="28"/>
      <c r="O76" s="28"/>
      <c r="AE76" s="294"/>
    </row>
    <row r="77" spans="1:31" x14ac:dyDescent="0.3">
      <c r="A77" s="28" t="s">
        <v>229</v>
      </c>
      <c r="B77" s="89">
        <v>12.97</v>
      </c>
      <c r="C77" s="301">
        <v>6.12</v>
      </c>
      <c r="D77" s="301" t="s">
        <v>284</v>
      </c>
      <c r="E77" s="302">
        <v>0.9</v>
      </c>
      <c r="L77" s="293"/>
    </row>
    <row r="78" spans="1:31" x14ac:dyDescent="0.3">
      <c r="A78" s="28" t="s">
        <v>230</v>
      </c>
      <c r="B78" s="89">
        <v>28.97</v>
      </c>
      <c r="C78" s="301">
        <v>11.19</v>
      </c>
      <c r="D78" s="301" t="s">
        <v>285</v>
      </c>
      <c r="E78" s="302">
        <v>0.9</v>
      </c>
    </row>
    <row r="79" spans="1:31" x14ac:dyDescent="0.3">
      <c r="A79" s="73" t="s">
        <v>137</v>
      </c>
      <c r="B79" s="86"/>
      <c r="C79" s="87"/>
      <c r="D79" s="87"/>
      <c r="E79" s="300"/>
      <c r="M79" s="293"/>
      <c r="N79" s="293"/>
    </row>
    <row r="80" spans="1:31" x14ac:dyDescent="0.3">
      <c r="A80" s="28" t="s">
        <v>231</v>
      </c>
      <c r="B80" s="89">
        <v>23.68</v>
      </c>
      <c r="C80" s="301">
        <v>11.28</v>
      </c>
      <c r="D80" s="301" t="s">
        <v>285</v>
      </c>
      <c r="E80" s="302">
        <v>0.92</v>
      </c>
      <c r="L80" s="293"/>
    </row>
    <row r="81" spans="1:31" x14ac:dyDescent="0.3">
      <c r="A81" s="28" t="s">
        <v>232</v>
      </c>
      <c r="B81" s="89">
        <v>28.32</v>
      </c>
      <c r="C81" s="301">
        <v>12.16</v>
      </c>
      <c r="D81" s="301" t="s">
        <v>285</v>
      </c>
      <c r="E81" s="302">
        <v>0.93</v>
      </c>
    </row>
    <row r="82" spans="1:31" x14ac:dyDescent="0.3">
      <c r="A82" s="28" t="s">
        <v>233</v>
      </c>
      <c r="B82" s="89">
        <v>28.73</v>
      </c>
      <c r="C82" s="301">
        <v>12.71</v>
      </c>
      <c r="D82" s="301" t="s">
        <v>285</v>
      </c>
      <c r="E82" s="302">
        <v>0.94</v>
      </c>
    </row>
    <row r="83" spans="1:31" s="293" customFormat="1" x14ac:dyDescent="0.25">
      <c r="A83" s="28" t="s">
        <v>234</v>
      </c>
      <c r="B83" s="89">
        <v>24.27</v>
      </c>
      <c r="C83" s="301">
        <v>11.39</v>
      </c>
      <c r="D83" s="301" t="s">
        <v>285</v>
      </c>
      <c r="E83" s="302">
        <v>0.94</v>
      </c>
      <c r="L83" s="28"/>
      <c r="M83" s="28"/>
      <c r="N83" s="28"/>
      <c r="O83" s="28"/>
      <c r="AE83" s="294"/>
    </row>
    <row r="84" spans="1:31" x14ac:dyDescent="0.3">
      <c r="A84" s="28" t="s">
        <v>235</v>
      </c>
      <c r="B84" s="89">
        <v>52.99</v>
      </c>
      <c r="C84" s="301">
        <v>22.58</v>
      </c>
      <c r="D84" s="301" t="s">
        <v>294</v>
      </c>
      <c r="E84" s="302">
        <v>0.96</v>
      </c>
      <c r="M84" s="293"/>
      <c r="N84" s="293"/>
    </row>
    <row r="85" spans="1:31" x14ac:dyDescent="0.3">
      <c r="A85" s="28" t="s">
        <v>138</v>
      </c>
      <c r="B85" s="89">
        <v>81.97</v>
      </c>
      <c r="C85" s="301">
        <v>30.91</v>
      </c>
      <c r="D85" s="301" t="s">
        <v>298</v>
      </c>
      <c r="E85" s="302">
        <v>0.96</v>
      </c>
      <c r="L85" s="293"/>
    </row>
    <row r="86" spans="1:31" ht="51" customHeight="1" x14ac:dyDescent="0.3">
      <c r="A86" s="382" t="s">
        <v>280</v>
      </c>
      <c r="B86" s="383"/>
      <c r="C86" s="383"/>
      <c r="D86" s="383"/>
      <c r="E86" s="383"/>
    </row>
    <row r="87" spans="1:31" x14ac:dyDescent="0.3">
      <c r="M87" s="293"/>
      <c r="N87" s="293"/>
    </row>
    <row r="89" spans="1:31" x14ac:dyDescent="0.3">
      <c r="A89" s="79" t="s">
        <v>1171</v>
      </c>
      <c r="B89" s="81"/>
      <c r="C89" s="81"/>
      <c r="D89" s="81"/>
      <c r="E89" s="81"/>
    </row>
    <row r="90" spans="1:31" x14ac:dyDescent="0.3">
      <c r="A90" s="299"/>
      <c r="B90" s="386" t="s">
        <v>1174</v>
      </c>
      <c r="C90" s="387"/>
      <c r="D90" s="387"/>
      <c r="E90" s="388"/>
    </row>
    <row r="91" spans="1:31" x14ac:dyDescent="0.3">
      <c r="A91" s="73" t="s">
        <v>138</v>
      </c>
      <c r="B91" s="86" t="s">
        <v>152</v>
      </c>
      <c r="C91" s="87" t="s">
        <v>153</v>
      </c>
      <c r="D91" s="87" t="s">
        <v>223</v>
      </c>
      <c r="E91" s="300" t="s">
        <v>154</v>
      </c>
      <c r="M91" s="293"/>
      <c r="N91" s="293"/>
    </row>
    <row r="92" spans="1:31" x14ac:dyDescent="0.3">
      <c r="A92" s="28" t="s">
        <v>279</v>
      </c>
      <c r="B92" s="89">
        <v>18.3</v>
      </c>
      <c r="C92" s="301">
        <v>7.83</v>
      </c>
      <c r="D92" s="303" t="s">
        <v>1175</v>
      </c>
      <c r="E92" s="302">
        <v>0.82</v>
      </c>
    </row>
    <row r="93" spans="1:31" ht="51" customHeight="1" x14ac:dyDescent="0.3">
      <c r="A93" s="389" t="s">
        <v>1423</v>
      </c>
      <c r="B93" s="390"/>
      <c r="C93" s="390"/>
      <c r="D93" s="390"/>
      <c r="E93" s="390"/>
    </row>
    <row r="95" spans="1:31" x14ac:dyDescent="0.3">
      <c r="L95" s="293"/>
    </row>
    <row r="96" spans="1:31" x14ac:dyDescent="0.3">
      <c r="A96" s="79" t="s">
        <v>27</v>
      </c>
      <c r="B96" s="81"/>
      <c r="C96" s="81"/>
      <c r="D96" s="81"/>
      <c r="E96" s="81"/>
      <c r="M96" s="293"/>
      <c r="N96" s="293"/>
    </row>
    <row r="97" spans="1:31" x14ac:dyDescent="0.3">
      <c r="A97" s="299"/>
      <c r="B97" s="386" t="s">
        <v>221</v>
      </c>
      <c r="C97" s="387"/>
      <c r="D97" s="387"/>
      <c r="E97" s="388"/>
    </row>
    <row r="98" spans="1:31" x14ac:dyDescent="0.3">
      <c r="A98" s="73" t="s">
        <v>133</v>
      </c>
      <c r="B98" s="86" t="s">
        <v>152</v>
      </c>
      <c r="C98" s="87" t="s">
        <v>153</v>
      </c>
      <c r="D98" s="87" t="s">
        <v>223</v>
      </c>
      <c r="E98" s="300" t="s">
        <v>154</v>
      </c>
    </row>
    <row r="99" spans="1:31" x14ac:dyDescent="0.3">
      <c r="A99" s="28" t="s">
        <v>166</v>
      </c>
      <c r="B99" s="89">
        <v>13.74</v>
      </c>
      <c r="C99" s="301">
        <v>6.2</v>
      </c>
      <c r="D99" s="301" t="s">
        <v>284</v>
      </c>
      <c r="E99" s="302">
        <v>0.88</v>
      </c>
    </row>
    <row r="100" spans="1:31" x14ac:dyDescent="0.3">
      <c r="A100" s="28" t="s">
        <v>167</v>
      </c>
      <c r="B100" s="89">
        <v>12.04</v>
      </c>
      <c r="C100" s="301">
        <v>6.49</v>
      </c>
      <c r="D100" s="301" t="s">
        <v>284</v>
      </c>
      <c r="E100" s="302">
        <v>0.9</v>
      </c>
    </row>
    <row r="101" spans="1:31" x14ac:dyDescent="0.3">
      <c r="A101" s="28" t="s">
        <v>168</v>
      </c>
      <c r="B101" s="89">
        <v>16.100000000000001</v>
      </c>
      <c r="C101" s="301">
        <v>6.97</v>
      </c>
      <c r="D101" s="301" t="s">
        <v>284</v>
      </c>
      <c r="E101" s="302">
        <v>0.94</v>
      </c>
      <c r="M101" s="293"/>
      <c r="N101" s="293"/>
    </row>
    <row r="102" spans="1:31" x14ac:dyDescent="0.3">
      <c r="A102" s="28" t="s">
        <v>169</v>
      </c>
      <c r="B102" s="89">
        <v>15.21</v>
      </c>
      <c r="C102" s="301">
        <v>5.69</v>
      </c>
      <c r="D102" s="301" t="s">
        <v>284</v>
      </c>
      <c r="E102" s="302">
        <v>0.85</v>
      </c>
    </row>
    <row r="103" spans="1:31" s="293" customFormat="1" x14ac:dyDescent="0.25">
      <c r="A103" s="28" t="s">
        <v>170</v>
      </c>
      <c r="B103" s="89">
        <v>12.36</v>
      </c>
      <c r="C103" s="301">
        <v>5.77</v>
      </c>
      <c r="D103" s="301" t="s">
        <v>284</v>
      </c>
      <c r="E103" s="302">
        <v>0.84</v>
      </c>
      <c r="L103" s="28"/>
      <c r="M103" s="28"/>
      <c r="N103" s="28"/>
      <c r="AE103" s="294"/>
    </row>
    <row r="104" spans="1:31" x14ac:dyDescent="0.3">
      <c r="A104" s="28" t="s">
        <v>171</v>
      </c>
      <c r="B104" s="89">
        <v>8.33</v>
      </c>
      <c r="C104" s="301">
        <v>4.7300000000000004</v>
      </c>
      <c r="D104" s="301" t="s">
        <v>284</v>
      </c>
      <c r="E104" s="302">
        <v>0.86</v>
      </c>
    </row>
    <row r="105" spans="1:31" x14ac:dyDescent="0.3">
      <c r="A105" s="28" t="s">
        <v>172</v>
      </c>
      <c r="B105" s="89">
        <v>8.5500000000000007</v>
      </c>
      <c r="C105" s="301">
        <v>4.7699999999999996</v>
      </c>
      <c r="D105" s="301" t="s">
        <v>284</v>
      </c>
      <c r="E105" s="302">
        <v>0.89</v>
      </c>
    </row>
    <row r="106" spans="1:31" x14ac:dyDescent="0.3">
      <c r="A106" s="28" t="s">
        <v>173</v>
      </c>
      <c r="B106" s="89">
        <v>7.07</v>
      </c>
      <c r="C106" s="301">
        <v>4.4400000000000004</v>
      </c>
      <c r="D106" s="301" t="s">
        <v>284</v>
      </c>
      <c r="E106" s="302">
        <v>0.87</v>
      </c>
    </row>
    <row r="107" spans="1:31" x14ac:dyDescent="0.3">
      <c r="A107" s="73" t="s">
        <v>137</v>
      </c>
      <c r="B107" s="86"/>
      <c r="C107" s="87"/>
      <c r="D107" s="87"/>
      <c r="E107" s="300"/>
    </row>
    <row r="108" spans="1:31" x14ac:dyDescent="0.3">
      <c r="A108" s="28" t="s">
        <v>174</v>
      </c>
      <c r="B108" s="89">
        <v>57.09</v>
      </c>
      <c r="C108" s="301">
        <v>20.43</v>
      </c>
      <c r="D108" s="301" t="s">
        <v>294</v>
      </c>
      <c r="E108" s="302">
        <v>0.93</v>
      </c>
      <c r="L108" s="293"/>
    </row>
    <row r="109" spans="1:31" x14ac:dyDescent="0.3">
      <c r="A109" s="28" t="s">
        <v>175</v>
      </c>
      <c r="B109" s="89">
        <v>36.31</v>
      </c>
      <c r="C109" s="301">
        <v>16.010000000000002</v>
      </c>
      <c r="D109" s="301" t="s">
        <v>294</v>
      </c>
      <c r="E109" s="302">
        <v>0.92</v>
      </c>
    </row>
    <row r="110" spans="1:31" x14ac:dyDescent="0.3">
      <c r="A110" s="28" t="s">
        <v>176</v>
      </c>
      <c r="B110" s="89">
        <v>69.45</v>
      </c>
      <c r="C110" s="301">
        <v>24.25</v>
      </c>
      <c r="D110" s="301" t="s">
        <v>295</v>
      </c>
      <c r="E110" s="302">
        <v>0.94</v>
      </c>
    </row>
    <row r="111" spans="1:31" x14ac:dyDescent="0.3">
      <c r="A111" s="28" t="s">
        <v>177</v>
      </c>
      <c r="B111" s="89">
        <v>23.95</v>
      </c>
      <c r="C111" s="301">
        <v>12.16</v>
      </c>
      <c r="D111" s="301" t="s">
        <v>296</v>
      </c>
      <c r="E111" s="302">
        <v>0.93</v>
      </c>
      <c r="M111" s="293"/>
      <c r="N111" s="293"/>
    </row>
    <row r="112" spans="1:31" x14ac:dyDescent="0.3">
      <c r="A112" s="28" t="s">
        <v>178</v>
      </c>
      <c r="B112" s="89">
        <v>93.4</v>
      </c>
      <c r="C112" s="301">
        <v>32.21</v>
      </c>
      <c r="D112" s="301" t="s">
        <v>297</v>
      </c>
      <c r="E112" s="302">
        <v>0.95</v>
      </c>
    </row>
    <row r="113" spans="1:31" ht="51" customHeight="1" x14ac:dyDescent="0.3">
      <c r="A113" s="375" t="s">
        <v>281</v>
      </c>
      <c r="B113" s="376"/>
      <c r="C113" s="376"/>
      <c r="D113" s="376"/>
      <c r="E113" s="376"/>
    </row>
    <row r="116" spans="1:31" x14ac:dyDescent="0.3">
      <c r="A116" s="79" t="s">
        <v>28</v>
      </c>
      <c r="B116" s="81"/>
      <c r="C116" s="81"/>
      <c r="D116" s="81"/>
      <c r="E116" s="81"/>
    </row>
    <row r="117" spans="1:31" x14ac:dyDescent="0.3">
      <c r="A117" s="304"/>
      <c r="B117" s="379" t="s">
        <v>222</v>
      </c>
      <c r="C117" s="380"/>
      <c r="D117" s="380"/>
      <c r="E117" s="381"/>
    </row>
    <row r="118" spans="1:31" s="293" customFormat="1" x14ac:dyDescent="0.25">
      <c r="A118" s="85" t="s">
        <v>133</v>
      </c>
      <c r="B118" s="86" t="s">
        <v>152</v>
      </c>
      <c r="C118" s="87" t="s">
        <v>153</v>
      </c>
      <c r="D118" s="87" t="s">
        <v>223</v>
      </c>
      <c r="E118" s="300" t="s">
        <v>154</v>
      </c>
      <c r="L118" s="28"/>
      <c r="M118" s="28"/>
      <c r="N118" s="28"/>
      <c r="AE118" s="294"/>
    </row>
    <row r="119" spans="1:31" x14ac:dyDescent="0.3">
      <c r="A119" s="88" t="s">
        <v>192</v>
      </c>
      <c r="B119" s="305">
        <v>14.4</v>
      </c>
      <c r="C119" s="117">
        <v>4.83</v>
      </c>
      <c r="D119" s="301" t="s">
        <v>289</v>
      </c>
      <c r="E119" s="306">
        <v>0.85</v>
      </c>
    </row>
    <row r="120" spans="1:31" x14ac:dyDescent="0.3">
      <c r="A120" s="88" t="s">
        <v>193</v>
      </c>
      <c r="B120" s="305">
        <v>15.57</v>
      </c>
      <c r="C120" s="117">
        <v>4.59</v>
      </c>
      <c r="D120" s="301" t="s">
        <v>289</v>
      </c>
      <c r="E120" s="306">
        <v>0.85</v>
      </c>
    </row>
    <row r="121" spans="1:31" x14ac:dyDescent="0.3">
      <c r="A121" s="88" t="s">
        <v>194</v>
      </c>
      <c r="B121" s="305">
        <v>14.14</v>
      </c>
      <c r="C121" s="117">
        <v>4.97</v>
      </c>
      <c r="D121" s="301" t="s">
        <v>289</v>
      </c>
      <c r="E121" s="306">
        <v>0.88</v>
      </c>
    </row>
    <row r="122" spans="1:31" x14ac:dyDescent="0.3">
      <c r="A122" s="88" t="s">
        <v>195</v>
      </c>
      <c r="B122" s="305">
        <v>17.5</v>
      </c>
      <c r="C122" s="117">
        <v>3.74</v>
      </c>
      <c r="D122" s="301" t="s">
        <v>289</v>
      </c>
      <c r="E122" s="306">
        <v>0.79</v>
      </c>
    </row>
    <row r="123" spans="1:31" x14ac:dyDescent="0.3">
      <c r="A123" s="88" t="s">
        <v>196</v>
      </c>
      <c r="B123" s="305">
        <v>15.74</v>
      </c>
      <c r="C123" s="117">
        <v>3.07</v>
      </c>
      <c r="D123" s="301" t="s">
        <v>290</v>
      </c>
      <c r="E123" s="306">
        <v>0.84</v>
      </c>
      <c r="L123" s="293"/>
    </row>
    <row r="124" spans="1:31" x14ac:dyDescent="0.3">
      <c r="A124" s="88" t="s">
        <v>197</v>
      </c>
      <c r="B124" s="305">
        <v>18.899999999999999</v>
      </c>
      <c r="C124" s="117">
        <v>3.67</v>
      </c>
      <c r="D124" s="301" t="s">
        <v>291</v>
      </c>
      <c r="E124" s="306">
        <v>0.86</v>
      </c>
    </row>
    <row r="125" spans="1:31" x14ac:dyDescent="0.3">
      <c r="A125" s="73" t="s">
        <v>137</v>
      </c>
      <c r="B125" s="86"/>
      <c r="C125" s="87"/>
      <c r="D125" s="87"/>
      <c r="E125" s="300"/>
    </row>
    <row r="126" spans="1:31" x14ac:dyDescent="0.3">
      <c r="A126" s="88" t="s">
        <v>198</v>
      </c>
      <c r="B126" s="305">
        <v>44.1</v>
      </c>
      <c r="C126" s="117">
        <v>13.29</v>
      </c>
      <c r="D126" s="301" t="s">
        <v>292</v>
      </c>
      <c r="E126" s="306">
        <v>0.94</v>
      </c>
      <c r="M126" s="293"/>
      <c r="N126" s="293"/>
    </row>
    <row r="127" spans="1:31" x14ac:dyDescent="0.3">
      <c r="A127" s="110" t="s">
        <v>199</v>
      </c>
      <c r="B127" s="89">
        <v>52.15</v>
      </c>
      <c r="C127" s="301">
        <v>9.1</v>
      </c>
      <c r="D127" s="301" t="s">
        <v>293</v>
      </c>
      <c r="E127" s="302">
        <v>0.92</v>
      </c>
    </row>
    <row r="128" spans="1:31" ht="51" customHeight="1" x14ac:dyDescent="0.3">
      <c r="A128" s="375" t="s">
        <v>282</v>
      </c>
      <c r="B128" s="376"/>
      <c r="C128" s="376"/>
      <c r="D128" s="376"/>
      <c r="E128" s="376"/>
    </row>
    <row r="131" spans="1:31" x14ac:dyDescent="0.3">
      <c r="A131" s="79" t="s">
        <v>64</v>
      </c>
      <c r="B131" s="81"/>
      <c r="C131" s="81"/>
      <c r="D131" s="81"/>
      <c r="E131" s="81"/>
    </row>
    <row r="132" spans="1:31" x14ac:dyDescent="0.3">
      <c r="A132" s="304"/>
      <c r="B132" s="379" t="s">
        <v>222</v>
      </c>
      <c r="C132" s="380"/>
      <c r="D132" s="380"/>
      <c r="E132" s="381"/>
    </row>
    <row r="133" spans="1:31" s="293" customFormat="1" x14ac:dyDescent="0.25">
      <c r="A133" s="85" t="s">
        <v>133</v>
      </c>
      <c r="B133" s="86" t="s">
        <v>152</v>
      </c>
      <c r="C133" s="87" t="s">
        <v>153</v>
      </c>
      <c r="D133" s="87" t="s">
        <v>223</v>
      </c>
      <c r="E133" s="300" t="s">
        <v>154</v>
      </c>
      <c r="L133" s="28"/>
      <c r="M133" s="28"/>
      <c r="N133" s="28"/>
      <c r="AE133" s="294"/>
    </row>
    <row r="134" spans="1:31" x14ac:dyDescent="0.3">
      <c r="A134" s="88" t="s">
        <v>192</v>
      </c>
      <c r="B134" s="305">
        <v>8.68</v>
      </c>
      <c r="C134" s="117">
        <v>2.1</v>
      </c>
      <c r="D134" s="301" t="s">
        <v>287</v>
      </c>
      <c r="E134" s="306">
        <v>0.76</v>
      </c>
    </row>
    <row r="135" spans="1:31" x14ac:dyDescent="0.3">
      <c r="A135" s="88" t="s">
        <v>193</v>
      </c>
      <c r="B135" s="305">
        <v>9.1300000000000008</v>
      </c>
      <c r="C135" s="117">
        <v>2.93</v>
      </c>
      <c r="D135" s="301" t="s">
        <v>287</v>
      </c>
      <c r="E135" s="306">
        <v>0.81</v>
      </c>
    </row>
    <row r="136" spans="1:31" x14ac:dyDescent="0.3">
      <c r="A136" s="88" t="s">
        <v>194</v>
      </c>
      <c r="B136" s="305">
        <v>8.73</v>
      </c>
      <c r="C136" s="117">
        <v>3.13</v>
      </c>
      <c r="D136" s="301" t="s">
        <v>287</v>
      </c>
      <c r="E136" s="306">
        <v>0.85</v>
      </c>
    </row>
    <row r="137" spans="1:31" x14ac:dyDescent="0.3">
      <c r="A137" s="88" t="s">
        <v>195</v>
      </c>
      <c r="B137" s="305">
        <v>11.11</v>
      </c>
      <c r="C137" s="117">
        <v>2.5</v>
      </c>
      <c r="D137" s="301" t="s">
        <v>287</v>
      </c>
      <c r="E137" s="306">
        <v>0.79</v>
      </c>
      <c r="L137" s="293"/>
    </row>
    <row r="138" spans="1:31" x14ac:dyDescent="0.3">
      <c r="A138" s="88" t="s">
        <v>196</v>
      </c>
      <c r="B138" s="305">
        <v>10.79</v>
      </c>
      <c r="C138" s="117">
        <v>2.52</v>
      </c>
      <c r="D138" s="301" t="s">
        <v>287</v>
      </c>
      <c r="E138" s="306">
        <v>0.82</v>
      </c>
    </row>
    <row r="139" spans="1:31" x14ac:dyDescent="0.3">
      <c r="A139" s="88" t="s">
        <v>197</v>
      </c>
      <c r="B139" s="305">
        <v>11.29</v>
      </c>
      <c r="C139" s="117">
        <v>2.61</v>
      </c>
      <c r="D139" s="301" t="s">
        <v>287</v>
      </c>
      <c r="E139" s="306">
        <v>0.83</v>
      </c>
    </row>
    <row r="140" spans="1:31" x14ac:dyDescent="0.3">
      <c r="A140" s="73" t="s">
        <v>137</v>
      </c>
      <c r="B140" s="86"/>
      <c r="C140" s="87"/>
      <c r="D140" s="87"/>
      <c r="E140" s="300"/>
    </row>
    <row r="141" spans="1:31" x14ac:dyDescent="0.3">
      <c r="A141" s="88" t="s">
        <v>198</v>
      </c>
      <c r="B141" s="305">
        <v>26.54</v>
      </c>
      <c r="C141" s="117">
        <v>8.14</v>
      </c>
      <c r="D141" s="301" t="s">
        <v>288</v>
      </c>
      <c r="E141" s="306">
        <v>0.91</v>
      </c>
      <c r="M141" s="293"/>
      <c r="N141" s="293"/>
    </row>
    <row r="142" spans="1:31" x14ac:dyDescent="0.3">
      <c r="A142" s="110" t="s">
        <v>199</v>
      </c>
      <c r="B142" s="89">
        <v>33.200000000000003</v>
      </c>
      <c r="C142" s="301">
        <v>6.88</v>
      </c>
      <c r="D142" s="301" t="s">
        <v>288</v>
      </c>
      <c r="E142" s="302">
        <v>0.92</v>
      </c>
    </row>
    <row r="143" spans="1:31" ht="51" customHeight="1" x14ac:dyDescent="0.3">
      <c r="A143" s="375" t="s">
        <v>282</v>
      </c>
      <c r="B143" s="376"/>
      <c r="C143" s="376"/>
      <c r="D143" s="376"/>
      <c r="E143" s="376"/>
    </row>
    <row r="144" spans="1:31" x14ac:dyDescent="0.3">
      <c r="A144" s="95"/>
      <c r="L144" s="293"/>
    </row>
    <row r="146" spans="1:31" x14ac:dyDescent="0.3">
      <c r="A146" s="79" t="s">
        <v>29</v>
      </c>
      <c r="B146" s="81"/>
      <c r="C146" s="81"/>
      <c r="D146" s="81"/>
      <c r="E146" s="81"/>
    </row>
    <row r="147" spans="1:31" s="293" customFormat="1" x14ac:dyDescent="0.25">
      <c r="A147" s="304"/>
      <c r="B147" s="379" t="s">
        <v>224</v>
      </c>
      <c r="C147" s="380"/>
      <c r="D147" s="380"/>
      <c r="E147" s="381"/>
      <c r="L147" s="28"/>
      <c r="M147" s="28"/>
      <c r="N147" s="28"/>
      <c r="AE147" s="294"/>
    </row>
    <row r="148" spans="1:31" x14ac:dyDescent="0.3">
      <c r="A148" s="85" t="s">
        <v>133</v>
      </c>
      <c r="B148" s="86" t="s">
        <v>152</v>
      </c>
      <c r="C148" s="87" t="s">
        <v>153</v>
      </c>
      <c r="D148" s="87" t="s">
        <v>223</v>
      </c>
      <c r="E148" s="300" t="s">
        <v>154</v>
      </c>
    </row>
    <row r="149" spans="1:31" x14ac:dyDescent="0.3">
      <c r="A149" s="88" t="s">
        <v>208</v>
      </c>
      <c r="B149" s="305">
        <v>11.63</v>
      </c>
      <c r="C149" s="117">
        <v>4.62</v>
      </c>
      <c r="D149" s="301" t="s">
        <v>284</v>
      </c>
      <c r="E149" s="306">
        <v>0.84</v>
      </c>
    </row>
    <row r="150" spans="1:31" x14ac:dyDescent="0.3">
      <c r="A150" s="88" t="s">
        <v>209</v>
      </c>
      <c r="B150" s="305">
        <v>12.26</v>
      </c>
      <c r="C150" s="117">
        <v>3.92</v>
      </c>
      <c r="D150" s="301" t="s">
        <v>284</v>
      </c>
      <c r="E150" s="306">
        <v>0.7</v>
      </c>
    </row>
    <row r="151" spans="1:31" x14ac:dyDescent="0.3">
      <c r="A151" s="88" t="s">
        <v>210</v>
      </c>
      <c r="B151" s="305">
        <v>15.41</v>
      </c>
      <c r="C151" s="117">
        <v>5.37</v>
      </c>
      <c r="D151" s="301" t="s">
        <v>284</v>
      </c>
      <c r="E151" s="306">
        <v>0.82</v>
      </c>
      <c r="L151" s="293"/>
    </row>
    <row r="152" spans="1:31" x14ac:dyDescent="0.3">
      <c r="A152" s="88" t="s">
        <v>211</v>
      </c>
      <c r="B152" s="305">
        <v>8.24</v>
      </c>
      <c r="C152" s="117">
        <v>4.3899999999999997</v>
      </c>
      <c r="D152" s="301" t="s">
        <v>284</v>
      </c>
      <c r="E152" s="306">
        <v>0.83</v>
      </c>
    </row>
    <row r="153" spans="1:31" x14ac:dyDescent="0.3">
      <c r="A153" s="73" t="s">
        <v>137</v>
      </c>
      <c r="B153" s="86"/>
      <c r="C153" s="87"/>
      <c r="D153" s="87"/>
      <c r="E153" s="300"/>
    </row>
    <row r="154" spans="1:31" x14ac:dyDescent="0.3">
      <c r="A154" s="88" t="s">
        <v>212</v>
      </c>
      <c r="B154" s="305">
        <v>23.89</v>
      </c>
      <c r="C154" s="117">
        <v>8.1300000000000008</v>
      </c>
      <c r="D154" s="301" t="s">
        <v>285</v>
      </c>
      <c r="E154" s="306">
        <v>0.88</v>
      </c>
    </row>
    <row r="155" spans="1:31" s="293" customFormat="1" x14ac:dyDescent="0.25">
      <c r="A155" s="88" t="s">
        <v>213</v>
      </c>
      <c r="B155" s="305">
        <v>23.65</v>
      </c>
      <c r="C155" s="117">
        <v>7.47</v>
      </c>
      <c r="D155" s="301" t="s">
        <v>285</v>
      </c>
      <c r="E155" s="306">
        <v>0.77</v>
      </c>
      <c r="L155" s="28"/>
      <c r="AE155" s="294"/>
    </row>
    <row r="156" spans="1:31" x14ac:dyDescent="0.3">
      <c r="A156" s="88" t="s">
        <v>165</v>
      </c>
      <c r="B156" s="305">
        <v>47.55</v>
      </c>
      <c r="C156" s="117">
        <v>13.69</v>
      </c>
      <c r="D156" s="301" t="s">
        <v>286</v>
      </c>
      <c r="E156" s="306">
        <v>0.88</v>
      </c>
    </row>
    <row r="157" spans="1:31" ht="35.1" customHeight="1" x14ac:dyDescent="0.3">
      <c r="A157" s="375" t="s">
        <v>283</v>
      </c>
      <c r="B157" s="376"/>
      <c r="C157" s="376"/>
      <c r="D157" s="376"/>
      <c r="E157" s="376"/>
      <c r="L157" s="293"/>
    </row>
    <row r="160" spans="1:31" x14ac:dyDescent="0.3">
      <c r="A160" s="79" t="s">
        <v>318</v>
      </c>
      <c r="B160" s="81"/>
      <c r="C160" s="81"/>
      <c r="D160" s="81"/>
      <c r="E160" s="81"/>
    </row>
    <row r="161" spans="1:31" x14ac:dyDescent="0.3">
      <c r="A161" s="304"/>
      <c r="B161" s="379" t="s">
        <v>319</v>
      </c>
      <c r="C161" s="380"/>
      <c r="D161" s="380"/>
      <c r="E161" s="381"/>
    </row>
    <row r="162" spans="1:31" x14ac:dyDescent="0.3">
      <c r="A162" s="85" t="s">
        <v>133</v>
      </c>
      <c r="B162" s="86" t="s">
        <v>152</v>
      </c>
      <c r="C162" s="87" t="s">
        <v>153</v>
      </c>
      <c r="D162" s="87" t="s">
        <v>802</v>
      </c>
      <c r="E162" s="300" t="s">
        <v>154</v>
      </c>
    </row>
    <row r="163" spans="1:31" x14ac:dyDescent="0.3">
      <c r="A163" s="88" t="s">
        <v>320</v>
      </c>
      <c r="B163" s="305">
        <v>29</v>
      </c>
      <c r="C163" s="117">
        <v>6.68</v>
      </c>
      <c r="D163" s="307" t="s">
        <v>803</v>
      </c>
      <c r="E163" s="306">
        <v>0.89</v>
      </c>
      <c r="M163" s="293"/>
      <c r="N163" s="293"/>
    </row>
    <row r="164" spans="1:31" x14ac:dyDescent="0.3">
      <c r="A164" s="88" t="s">
        <v>321</v>
      </c>
      <c r="B164" s="305">
        <v>15.97</v>
      </c>
      <c r="C164" s="117">
        <v>5.16</v>
      </c>
      <c r="D164" s="301" t="s">
        <v>804</v>
      </c>
      <c r="E164" s="306">
        <v>0.79</v>
      </c>
    </row>
    <row r="165" spans="1:31" ht="51" customHeight="1" x14ac:dyDescent="0.3">
      <c r="A165" s="375" t="s">
        <v>322</v>
      </c>
      <c r="B165" s="376"/>
      <c r="C165" s="376"/>
      <c r="D165" s="376"/>
      <c r="E165" s="376"/>
    </row>
    <row r="168" spans="1:31" x14ac:dyDescent="0.3">
      <c r="A168" s="79" t="s">
        <v>1182</v>
      </c>
      <c r="B168" s="81"/>
      <c r="C168" s="81"/>
      <c r="D168" s="81"/>
      <c r="E168" s="81"/>
    </row>
    <row r="169" spans="1:31" x14ac:dyDescent="0.3">
      <c r="A169" s="304"/>
      <c r="B169" s="379" t="s">
        <v>1321</v>
      </c>
      <c r="C169" s="380"/>
      <c r="D169" s="380"/>
      <c r="E169" s="381"/>
    </row>
    <row r="170" spans="1:31" x14ac:dyDescent="0.3">
      <c r="A170" s="85" t="s">
        <v>133</v>
      </c>
      <c r="B170" s="86" t="s">
        <v>152</v>
      </c>
      <c r="C170" s="87" t="s">
        <v>153</v>
      </c>
      <c r="D170" s="87" t="s">
        <v>802</v>
      </c>
      <c r="E170" s="300" t="s">
        <v>154</v>
      </c>
    </row>
    <row r="171" spans="1:31" s="293" customFormat="1" x14ac:dyDescent="0.25">
      <c r="A171" s="308" t="s">
        <v>1312</v>
      </c>
      <c r="B171" s="309">
        <v>3.48</v>
      </c>
      <c r="C171" s="310">
        <v>1.06</v>
      </c>
      <c r="D171" s="311" t="s">
        <v>1322</v>
      </c>
      <c r="E171" s="312">
        <v>0.85</v>
      </c>
      <c r="L171" s="28"/>
      <c r="M171" s="28"/>
      <c r="N171" s="28"/>
      <c r="AE171" s="294"/>
    </row>
    <row r="172" spans="1:31" x14ac:dyDescent="0.3">
      <c r="A172" s="308" t="s">
        <v>1313</v>
      </c>
      <c r="B172" s="309">
        <v>4.1100000000000003</v>
      </c>
      <c r="C172" s="310">
        <v>1.03</v>
      </c>
      <c r="D172" s="311" t="s">
        <v>1323</v>
      </c>
      <c r="E172" s="312">
        <v>0.91</v>
      </c>
    </row>
    <row r="173" spans="1:31" x14ac:dyDescent="0.3">
      <c r="A173" s="308" t="s">
        <v>1314</v>
      </c>
      <c r="B173" s="309">
        <v>4.22</v>
      </c>
      <c r="C173" s="310">
        <v>0.73</v>
      </c>
      <c r="D173" s="311" t="s">
        <v>1323</v>
      </c>
      <c r="E173" s="312">
        <v>0.85</v>
      </c>
    </row>
    <row r="174" spans="1:31" x14ac:dyDescent="0.3">
      <c r="A174" s="308" t="s">
        <v>1315</v>
      </c>
      <c r="B174" s="309">
        <v>3.73</v>
      </c>
      <c r="C174" s="310">
        <v>0.98</v>
      </c>
      <c r="D174" s="311" t="s">
        <v>1324</v>
      </c>
      <c r="E174" s="312">
        <v>0.89</v>
      </c>
    </row>
    <row r="175" spans="1:31" x14ac:dyDescent="0.3">
      <c r="A175" s="308" t="s">
        <v>1316</v>
      </c>
      <c r="B175" s="309">
        <v>3.64</v>
      </c>
      <c r="C175" s="310">
        <v>0.88</v>
      </c>
      <c r="D175" s="311" t="s">
        <v>1322</v>
      </c>
      <c r="E175" s="312">
        <v>0.81</v>
      </c>
    </row>
    <row r="176" spans="1:31" x14ac:dyDescent="0.3">
      <c r="A176" s="308" t="s">
        <v>1317</v>
      </c>
      <c r="B176" s="309">
        <v>3.74</v>
      </c>
      <c r="C176" s="310">
        <v>1.0900000000000001</v>
      </c>
      <c r="D176" s="311" t="s">
        <v>1324</v>
      </c>
      <c r="E176" s="312">
        <v>0.92</v>
      </c>
    </row>
    <row r="177" spans="1:31" x14ac:dyDescent="0.3">
      <c r="A177" s="308" t="s">
        <v>1318</v>
      </c>
      <c r="B177" s="309">
        <v>3.74</v>
      </c>
      <c r="C177" s="310">
        <v>0.93</v>
      </c>
      <c r="D177" s="311" t="s">
        <v>1323</v>
      </c>
      <c r="E177" s="312">
        <v>0.88</v>
      </c>
    </row>
    <row r="178" spans="1:31" x14ac:dyDescent="0.3">
      <c r="A178" s="308" t="s">
        <v>1319</v>
      </c>
      <c r="B178" s="309">
        <v>3.71</v>
      </c>
      <c r="C178" s="310">
        <v>0.85</v>
      </c>
      <c r="D178" s="311" t="s">
        <v>1325</v>
      </c>
      <c r="E178" s="312">
        <v>0.69</v>
      </c>
    </row>
    <row r="179" spans="1:31" x14ac:dyDescent="0.3">
      <c r="A179" s="308" t="s">
        <v>1320</v>
      </c>
      <c r="B179" s="309">
        <v>3.74</v>
      </c>
      <c r="C179" s="310">
        <v>1.07</v>
      </c>
      <c r="D179" s="311" t="s">
        <v>1325</v>
      </c>
      <c r="E179" s="312">
        <v>0.8</v>
      </c>
      <c r="L179" s="293"/>
      <c r="M179" s="293"/>
      <c r="N179" s="293"/>
    </row>
    <row r="180" spans="1:31" x14ac:dyDescent="0.3">
      <c r="A180" s="308" t="s">
        <v>321</v>
      </c>
      <c r="B180" s="309">
        <v>3.72</v>
      </c>
      <c r="C180" s="310">
        <v>1.0900000000000001</v>
      </c>
      <c r="D180" s="311" t="s">
        <v>1325</v>
      </c>
      <c r="E180" s="312">
        <v>0.82</v>
      </c>
    </row>
    <row r="181" spans="1:31" ht="51" customHeight="1" x14ac:dyDescent="0.3">
      <c r="A181" s="391" t="s">
        <v>1419</v>
      </c>
      <c r="B181" s="394"/>
      <c r="C181" s="394"/>
      <c r="D181" s="394"/>
      <c r="E181" s="394"/>
    </row>
    <row r="184" spans="1:31" x14ac:dyDescent="0.3">
      <c r="A184" s="79" t="s">
        <v>859</v>
      </c>
      <c r="B184" s="81"/>
      <c r="C184" s="81"/>
      <c r="D184" s="81"/>
      <c r="E184" s="81"/>
    </row>
    <row r="185" spans="1:31" s="293" customFormat="1" x14ac:dyDescent="0.25">
      <c r="A185" s="304"/>
      <c r="B185" s="379" t="s">
        <v>866</v>
      </c>
      <c r="C185" s="380"/>
      <c r="D185" s="380"/>
      <c r="E185" s="381"/>
      <c r="L185" s="28"/>
      <c r="M185" s="28"/>
      <c r="N185" s="28"/>
      <c r="AE185" s="294"/>
    </row>
    <row r="186" spans="1:31" x14ac:dyDescent="0.3">
      <c r="A186" s="85" t="s">
        <v>133</v>
      </c>
      <c r="B186" s="86" t="s">
        <v>152</v>
      </c>
      <c r="C186" s="87" t="s">
        <v>153</v>
      </c>
      <c r="D186" s="87" t="s">
        <v>802</v>
      </c>
      <c r="E186" s="300" t="s">
        <v>154</v>
      </c>
      <c r="F186" s="293"/>
      <c r="G186" s="293"/>
    </row>
    <row r="187" spans="1:31" x14ac:dyDescent="0.3">
      <c r="A187" s="88" t="s">
        <v>860</v>
      </c>
      <c r="B187" s="305">
        <v>19.100000000000001</v>
      </c>
      <c r="C187" s="117">
        <v>3.83</v>
      </c>
      <c r="D187" s="307" t="s">
        <v>1416</v>
      </c>
      <c r="E187" s="306">
        <v>0.87</v>
      </c>
      <c r="F187" s="293"/>
      <c r="G187" s="293"/>
    </row>
    <row r="188" spans="1:31" x14ac:dyDescent="0.3">
      <c r="A188" s="88" t="s">
        <v>861</v>
      </c>
      <c r="B188" s="305">
        <v>19.100000000000001</v>
      </c>
      <c r="C188" s="117">
        <v>3.55</v>
      </c>
      <c r="D188" s="307" t="s">
        <v>1416</v>
      </c>
      <c r="E188" s="306">
        <v>0.85</v>
      </c>
      <c r="F188" s="293"/>
      <c r="G188" s="293"/>
    </row>
    <row r="189" spans="1:31" x14ac:dyDescent="0.3">
      <c r="A189" s="88" t="s">
        <v>862</v>
      </c>
      <c r="B189" s="305">
        <v>12</v>
      </c>
      <c r="C189" s="117">
        <v>3.67</v>
      </c>
      <c r="D189" s="307" t="s">
        <v>1416</v>
      </c>
      <c r="E189" s="306">
        <v>0.73</v>
      </c>
      <c r="F189" s="293"/>
      <c r="G189" s="293"/>
    </row>
    <row r="190" spans="1:31" x14ac:dyDescent="0.3">
      <c r="A190" s="88" t="s">
        <v>863</v>
      </c>
      <c r="B190" s="305">
        <v>15.9</v>
      </c>
      <c r="C190" s="117">
        <v>3.98</v>
      </c>
      <c r="D190" s="307" t="s">
        <v>1416</v>
      </c>
      <c r="E190" s="306">
        <v>0.77</v>
      </c>
      <c r="F190" s="293"/>
      <c r="G190" s="293"/>
    </row>
    <row r="191" spans="1:31" x14ac:dyDescent="0.3">
      <c r="A191" s="73" t="s">
        <v>137</v>
      </c>
      <c r="B191" s="86"/>
      <c r="C191" s="87"/>
      <c r="D191" s="87"/>
      <c r="E191" s="300"/>
    </row>
    <row r="192" spans="1:31" s="293" customFormat="1" x14ac:dyDescent="0.25">
      <c r="A192" s="88" t="s">
        <v>864</v>
      </c>
      <c r="B192" s="305">
        <v>38.200000000000003</v>
      </c>
      <c r="C192" s="117">
        <v>7.09</v>
      </c>
      <c r="D192" s="307" t="s">
        <v>1418</v>
      </c>
      <c r="E192" s="306">
        <v>0.92</v>
      </c>
      <c r="M192" s="28"/>
      <c r="N192" s="28"/>
      <c r="AE192" s="294"/>
    </row>
    <row r="193" spans="1:31" x14ac:dyDescent="0.3">
      <c r="A193" s="88" t="s">
        <v>865</v>
      </c>
      <c r="B193" s="305">
        <v>27.9</v>
      </c>
      <c r="C193" s="117">
        <v>6.48</v>
      </c>
      <c r="D193" s="307" t="s">
        <v>1418</v>
      </c>
      <c r="E193" s="306">
        <v>0.8</v>
      </c>
      <c r="M193" s="293"/>
      <c r="N193" s="293"/>
    </row>
    <row r="194" spans="1:31" x14ac:dyDescent="0.3">
      <c r="A194" s="88" t="s">
        <v>165</v>
      </c>
      <c r="B194" s="305">
        <v>66.099999999999994</v>
      </c>
      <c r="C194" s="117">
        <v>11.2</v>
      </c>
      <c r="D194" s="301" t="s">
        <v>1417</v>
      </c>
      <c r="E194" s="306">
        <v>0.88</v>
      </c>
    </row>
    <row r="195" spans="1:31" ht="35.1" customHeight="1" x14ac:dyDescent="0.3">
      <c r="A195" s="391" t="s">
        <v>1127</v>
      </c>
      <c r="B195" s="392"/>
      <c r="C195" s="392"/>
      <c r="D195" s="392"/>
      <c r="E195" s="392"/>
    </row>
    <row r="197" spans="1:31" s="293" customFormat="1" x14ac:dyDescent="0.25">
      <c r="A197" s="28"/>
      <c r="B197" s="28"/>
      <c r="C197" s="28"/>
      <c r="D197" s="28"/>
      <c r="E197" s="28"/>
      <c r="M197" s="28"/>
      <c r="N197" s="28"/>
      <c r="AE197" s="294"/>
    </row>
    <row r="198" spans="1:31" ht="21" x14ac:dyDescent="0.35">
      <c r="A198" s="72" t="s">
        <v>1446</v>
      </c>
      <c r="B198" s="73"/>
      <c r="C198" s="73"/>
      <c r="D198" s="73"/>
      <c r="E198" s="73"/>
      <c r="F198" s="73"/>
      <c r="G198" s="73"/>
    </row>
    <row r="200" spans="1:31" x14ac:dyDescent="0.3">
      <c r="A200" s="79" t="s">
        <v>945</v>
      </c>
      <c r="B200" s="81"/>
      <c r="C200" s="81"/>
      <c r="D200" s="81"/>
      <c r="E200" s="81"/>
      <c r="N200" s="293"/>
    </row>
    <row r="201" spans="1:31" x14ac:dyDescent="0.3">
      <c r="A201" s="291" t="s">
        <v>1126</v>
      </c>
      <c r="B201" s="295"/>
      <c r="C201" s="295"/>
      <c r="D201" s="295"/>
      <c r="E201" s="295"/>
    </row>
    <row r="202" spans="1:31" s="293" customFormat="1" ht="51" customHeight="1" x14ac:dyDescent="0.25">
      <c r="A202" s="377" t="s">
        <v>1142</v>
      </c>
      <c r="B202" s="378"/>
      <c r="C202" s="378"/>
      <c r="D202" s="378"/>
      <c r="E202" s="378"/>
      <c r="M202" s="28"/>
      <c r="N202" s="28"/>
      <c r="AE202" s="294"/>
    </row>
    <row r="205" spans="1:31" x14ac:dyDescent="0.3">
      <c r="A205" s="79" t="s">
        <v>1122</v>
      </c>
      <c r="B205" s="81"/>
      <c r="C205" s="81"/>
      <c r="D205" s="81"/>
      <c r="E205" s="81"/>
      <c r="N205" s="293"/>
    </row>
    <row r="206" spans="1:31" x14ac:dyDescent="0.3">
      <c r="A206" s="291" t="s">
        <v>1126</v>
      </c>
      <c r="B206" s="295"/>
      <c r="C206" s="295"/>
      <c r="D206" s="295"/>
      <c r="E206" s="295"/>
    </row>
    <row r="207" spans="1:31" s="293" customFormat="1" ht="51" customHeight="1" x14ac:dyDescent="0.25">
      <c r="A207" s="377" t="s">
        <v>1143</v>
      </c>
      <c r="B207" s="378"/>
      <c r="C207" s="378"/>
      <c r="D207" s="378"/>
      <c r="E207" s="378"/>
      <c r="M207" s="28"/>
      <c r="N207" s="28"/>
      <c r="AE207" s="294"/>
    </row>
    <row r="210" spans="1:14" x14ac:dyDescent="0.3">
      <c r="A210" s="79" t="s">
        <v>1123</v>
      </c>
      <c r="B210" s="81"/>
      <c r="C210" s="81"/>
      <c r="D210" s="81"/>
      <c r="E210" s="81"/>
      <c r="M210" s="293"/>
      <c r="N210" s="293"/>
    </row>
    <row r="211" spans="1:14" x14ac:dyDescent="0.3">
      <c r="A211" s="291" t="s">
        <v>1126</v>
      </c>
      <c r="B211" s="295"/>
      <c r="C211" s="295"/>
      <c r="D211" s="295"/>
      <c r="E211" s="295"/>
    </row>
    <row r="212" spans="1:14" ht="51" customHeight="1" x14ac:dyDescent="0.3">
      <c r="A212" s="377" t="s">
        <v>1144</v>
      </c>
      <c r="B212" s="378"/>
      <c r="C212" s="378"/>
      <c r="D212" s="378"/>
      <c r="E212" s="378"/>
    </row>
    <row r="215" spans="1:14" x14ac:dyDescent="0.3">
      <c r="A215" s="79" t="s">
        <v>946</v>
      </c>
      <c r="B215" s="81"/>
      <c r="C215" s="81"/>
      <c r="D215" s="81"/>
      <c r="E215" s="81"/>
      <c r="M215" s="293"/>
      <c r="N215" s="293"/>
    </row>
    <row r="216" spans="1:14" x14ac:dyDescent="0.3">
      <c r="A216" s="291" t="s">
        <v>1126</v>
      </c>
      <c r="B216" s="295"/>
      <c r="C216" s="295"/>
      <c r="D216" s="295"/>
      <c r="E216" s="295"/>
    </row>
    <row r="217" spans="1:14" x14ac:dyDescent="0.3">
      <c r="A217" s="377" t="s">
        <v>1145</v>
      </c>
      <c r="B217" s="378"/>
      <c r="C217" s="378"/>
      <c r="D217" s="378"/>
      <c r="E217" s="378"/>
    </row>
    <row r="220" spans="1:14" ht="21" x14ac:dyDescent="0.35">
      <c r="A220" s="72" t="s">
        <v>1447</v>
      </c>
      <c r="B220" s="73"/>
      <c r="C220" s="73"/>
      <c r="D220" s="73"/>
      <c r="E220" s="73"/>
      <c r="F220" s="73"/>
      <c r="G220" s="73"/>
    </row>
    <row r="222" spans="1:14" x14ac:dyDescent="0.3">
      <c r="A222" s="79" t="s">
        <v>323</v>
      </c>
      <c r="B222" s="81"/>
      <c r="C222" s="81"/>
      <c r="D222" s="81"/>
      <c r="E222" s="81"/>
    </row>
    <row r="223" spans="1:14" x14ac:dyDescent="0.3">
      <c r="A223" s="299"/>
      <c r="B223" s="386" t="s">
        <v>330</v>
      </c>
      <c r="C223" s="387"/>
      <c r="D223" s="387"/>
      <c r="E223" s="388"/>
    </row>
    <row r="224" spans="1:14" x14ac:dyDescent="0.3">
      <c r="A224" s="73" t="s">
        <v>133</v>
      </c>
      <c r="B224" s="86" t="s">
        <v>152</v>
      </c>
      <c r="C224" s="87" t="s">
        <v>153</v>
      </c>
      <c r="D224" s="87" t="s">
        <v>223</v>
      </c>
      <c r="E224" s="300" t="s">
        <v>154</v>
      </c>
    </row>
    <row r="225" spans="1:5" x14ac:dyDescent="0.3">
      <c r="A225" s="28" t="s">
        <v>331</v>
      </c>
      <c r="B225" s="89">
        <v>0.89</v>
      </c>
      <c r="C225" s="301">
        <v>0.64</v>
      </c>
      <c r="D225" s="301" t="s">
        <v>837</v>
      </c>
      <c r="E225" s="302">
        <v>0.88</v>
      </c>
    </row>
    <row r="226" spans="1:5" x14ac:dyDescent="0.3">
      <c r="A226" s="28" t="s">
        <v>332</v>
      </c>
      <c r="B226" s="89">
        <v>1.02</v>
      </c>
      <c r="C226" s="301">
        <v>0.73</v>
      </c>
      <c r="D226" s="301" t="s">
        <v>837</v>
      </c>
      <c r="E226" s="302">
        <v>0.91</v>
      </c>
    </row>
    <row r="227" spans="1:5" x14ac:dyDescent="0.3">
      <c r="A227" s="28" t="s">
        <v>333</v>
      </c>
      <c r="B227" s="89">
        <v>0.81</v>
      </c>
      <c r="C227" s="301">
        <v>0.65</v>
      </c>
      <c r="D227" s="301" t="s">
        <v>837</v>
      </c>
      <c r="E227" s="302">
        <v>0.89</v>
      </c>
    </row>
    <row r="228" spans="1:5" x14ac:dyDescent="0.3">
      <c r="A228" s="28" t="s">
        <v>334</v>
      </c>
      <c r="B228" s="89">
        <v>0.4</v>
      </c>
      <c r="C228" s="301">
        <v>0.5</v>
      </c>
      <c r="D228" s="301" t="s">
        <v>837</v>
      </c>
      <c r="E228" s="302">
        <v>0.91</v>
      </c>
    </row>
    <row r="229" spans="1:5" x14ac:dyDescent="0.3">
      <c r="A229" s="28" t="s">
        <v>335</v>
      </c>
      <c r="B229" s="89">
        <v>0.52</v>
      </c>
      <c r="C229" s="301">
        <v>0.54</v>
      </c>
      <c r="D229" s="301" t="s">
        <v>837</v>
      </c>
      <c r="E229" s="302">
        <v>0.85</v>
      </c>
    </row>
    <row r="230" spans="1:5" x14ac:dyDescent="0.3">
      <c r="A230" s="28" t="s">
        <v>336</v>
      </c>
      <c r="B230" s="89">
        <v>0.53</v>
      </c>
      <c r="C230" s="301">
        <v>0.62</v>
      </c>
      <c r="D230" s="301" t="s">
        <v>837</v>
      </c>
      <c r="E230" s="302">
        <v>0.95</v>
      </c>
    </row>
    <row r="231" spans="1:5" x14ac:dyDescent="0.3">
      <c r="A231" s="28" t="s">
        <v>337</v>
      </c>
      <c r="B231" s="89">
        <v>0.82</v>
      </c>
      <c r="C231" s="301">
        <v>0.69</v>
      </c>
      <c r="D231" s="301" t="s">
        <v>837</v>
      </c>
      <c r="E231" s="302">
        <v>0.91</v>
      </c>
    </row>
    <row r="232" spans="1:5" x14ac:dyDescent="0.3">
      <c r="A232" s="28" t="s">
        <v>338</v>
      </c>
      <c r="B232" s="89">
        <v>0.82</v>
      </c>
      <c r="C232" s="301">
        <v>0.76</v>
      </c>
      <c r="D232" s="301" t="s">
        <v>837</v>
      </c>
      <c r="E232" s="302">
        <v>0.96</v>
      </c>
    </row>
    <row r="233" spans="1:5" x14ac:dyDescent="0.3">
      <c r="A233" s="28" t="s">
        <v>1363</v>
      </c>
      <c r="B233" s="89">
        <v>0.94</v>
      </c>
      <c r="C233" s="301">
        <v>0.74</v>
      </c>
      <c r="D233" s="301" t="s">
        <v>837</v>
      </c>
      <c r="E233" s="302">
        <v>0.89</v>
      </c>
    </row>
    <row r="234" spans="1:5" x14ac:dyDescent="0.3">
      <c r="A234" s="28" t="s">
        <v>339</v>
      </c>
      <c r="B234" s="89">
        <v>0.82</v>
      </c>
      <c r="C234" s="301">
        <v>0.57999999999999996</v>
      </c>
      <c r="D234" s="301" t="s">
        <v>837</v>
      </c>
      <c r="E234" s="302">
        <v>0.72</v>
      </c>
    </row>
    <row r="235" spans="1:5" x14ac:dyDescent="0.3">
      <c r="A235" s="28" t="s">
        <v>340</v>
      </c>
      <c r="B235" s="89">
        <v>0.91</v>
      </c>
      <c r="C235" s="301">
        <v>0.67</v>
      </c>
      <c r="D235" s="301" t="s">
        <v>837</v>
      </c>
      <c r="E235" s="302">
        <v>0.89</v>
      </c>
    </row>
    <row r="236" spans="1:5" x14ac:dyDescent="0.3">
      <c r="A236" s="28" t="s">
        <v>341</v>
      </c>
      <c r="B236" s="89">
        <v>0.77</v>
      </c>
      <c r="C236" s="301">
        <v>0.56999999999999995</v>
      </c>
      <c r="D236" s="301" t="s">
        <v>837</v>
      </c>
      <c r="E236" s="302">
        <v>0.77</v>
      </c>
    </row>
    <row r="237" spans="1:5" x14ac:dyDescent="0.3">
      <c r="A237" s="28" t="s">
        <v>1356</v>
      </c>
      <c r="B237" s="89">
        <v>0.61</v>
      </c>
      <c r="C237" s="301">
        <v>0.65</v>
      </c>
      <c r="D237" s="301" t="s">
        <v>837</v>
      </c>
      <c r="E237" s="302">
        <v>0.84</v>
      </c>
    </row>
    <row r="238" spans="1:5" x14ac:dyDescent="0.3">
      <c r="A238" s="28" t="s">
        <v>342</v>
      </c>
      <c r="B238" s="89">
        <v>0.39</v>
      </c>
      <c r="C238" s="301">
        <v>0.49</v>
      </c>
      <c r="D238" s="301" t="s">
        <v>837</v>
      </c>
      <c r="E238" s="302">
        <v>0.81</v>
      </c>
    </row>
    <row r="239" spans="1:5" x14ac:dyDescent="0.3">
      <c r="A239" s="28" t="s">
        <v>343</v>
      </c>
      <c r="B239" s="89">
        <v>0.8</v>
      </c>
      <c r="C239" s="301">
        <v>0.67</v>
      </c>
      <c r="D239" s="301" t="s">
        <v>837</v>
      </c>
      <c r="E239" s="302">
        <v>0.81</v>
      </c>
    </row>
    <row r="240" spans="1:5" x14ac:dyDescent="0.3">
      <c r="A240" s="28" t="s">
        <v>1357</v>
      </c>
      <c r="B240" s="89">
        <v>0.44</v>
      </c>
      <c r="C240" s="301">
        <v>0.48</v>
      </c>
      <c r="D240" s="301" t="s">
        <v>837</v>
      </c>
      <c r="E240" s="302">
        <v>0.86</v>
      </c>
    </row>
    <row r="241" spans="1:31" x14ac:dyDescent="0.3">
      <c r="A241" s="28" t="s">
        <v>344</v>
      </c>
      <c r="B241" s="89">
        <v>0.82</v>
      </c>
      <c r="C241" s="301">
        <v>0.62</v>
      </c>
      <c r="D241" s="301" t="s">
        <v>837</v>
      </c>
      <c r="E241" s="302">
        <v>0.88</v>
      </c>
    </row>
    <row r="242" spans="1:31" x14ac:dyDescent="0.3">
      <c r="A242" s="28" t="s">
        <v>1358</v>
      </c>
      <c r="B242" s="89">
        <v>0.97</v>
      </c>
      <c r="C242" s="301">
        <v>0.56000000000000005</v>
      </c>
      <c r="D242" s="301" t="s">
        <v>837</v>
      </c>
      <c r="E242" s="302">
        <v>0.73</v>
      </c>
    </row>
    <row r="243" spans="1:31" x14ac:dyDescent="0.3">
      <c r="A243" s="28" t="s">
        <v>1359</v>
      </c>
      <c r="B243" s="89">
        <v>1.05</v>
      </c>
      <c r="C243" s="301">
        <v>0.68</v>
      </c>
      <c r="D243" s="301" t="s">
        <v>837</v>
      </c>
      <c r="E243" s="302">
        <v>0.9</v>
      </c>
      <c r="L243" s="293"/>
    </row>
    <row r="244" spans="1:31" x14ac:dyDescent="0.3">
      <c r="A244" s="28" t="s">
        <v>1360</v>
      </c>
      <c r="B244" s="89">
        <v>1.05</v>
      </c>
      <c r="C244" s="301">
        <v>0.51</v>
      </c>
      <c r="D244" s="301" t="s">
        <v>837</v>
      </c>
      <c r="E244" s="302">
        <v>0.85</v>
      </c>
    </row>
    <row r="245" spans="1:31" x14ac:dyDescent="0.3">
      <c r="A245" s="28" t="s">
        <v>1361</v>
      </c>
      <c r="B245" s="89">
        <v>0.8</v>
      </c>
      <c r="C245" s="301">
        <v>0.68</v>
      </c>
      <c r="D245" s="301" t="s">
        <v>837</v>
      </c>
      <c r="E245" s="302">
        <v>0.85</v>
      </c>
    </row>
    <row r="246" spans="1:31" s="293" customFormat="1" x14ac:dyDescent="0.25">
      <c r="A246" s="28" t="s">
        <v>345</v>
      </c>
      <c r="B246" s="89">
        <v>1.17</v>
      </c>
      <c r="C246" s="301">
        <v>0.66</v>
      </c>
      <c r="D246" s="301" t="s">
        <v>837</v>
      </c>
      <c r="E246" s="302">
        <v>0.78</v>
      </c>
      <c r="L246" s="28"/>
      <c r="M246" s="28"/>
      <c r="N246" s="28"/>
      <c r="AE246" s="294"/>
    </row>
    <row r="247" spans="1:31" x14ac:dyDescent="0.3">
      <c r="A247" s="28" t="s">
        <v>346</v>
      </c>
      <c r="B247" s="89">
        <v>0.95</v>
      </c>
      <c r="C247" s="301">
        <v>0.57999999999999996</v>
      </c>
      <c r="D247" s="301" t="s">
        <v>837</v>
      </c>
      <c r="E247" s="302">
        <v>0.73</v>
      </c>
    </row>
    <row r="248" spans="1:31" x14ac:dyDescent="0.3">
      <c r="A248" s="28" t="s">
        <v>1362</v>
      </c>
      <c r="B248" s="89">
        <v>0.64</v>
      </c>
      <c r="C248" s="301">
        <v>0.63</v>
      </c>
      <c r="D248" s="301" t="s">
        <v>837</v>
      </c>
      <c r="E248" s="302">
        <v>0.83</v>
      </c>
    </row>
    <row r="249" spans="1:31" x14ac:dyDescent="0.3">
      <c r="A249" s="28" t="s">
        <v>347</v>
      </c>
      <c r="B249" s="89">
        <v>1.01</v>
      </c>
      <c r="C249" s="301">
        <v>0.72</v>
      </c>
      <c r="D249" s="301" t="s">
        <v>837</v>
      </c>
      <c r="E249" s="302">
        <v>0.93</v>
      </c>
    </row>
    <row r="250" spans="1:31" x14ac:dyDescent="0.3">
      <c r="A250" s="73" t="s">
        <v>324</v>
      </c>
      <c r="B250" s="86"/>
      <c r="C250" s="87"/>
      <c r="D250" s="87"/>
      <c r="E250" s="300"/>
    </row>
    <row r="251" spans="1:31" x14ac:dyDescent="0.3">
      <c r="A251" s="28" t="s">
        <v>325</v>
      </c>
      <c r="B251" s="89">
        <v>1.07</v>
      </c>
      <c r="C251" s="301">
        <v>0.44</v>
      </c>
      <c r="D251" s="301" t="s">
        <v>837</v>
      </c>
      <c r="E251" s="302">
        <v>0.93</v>
      </c>
    </row>
    <row r="252" spans="1:31" x14ac:dyDescent="0.3">
      <c r="A252" s="28" t="s">
        <v>326</v>
      </c>
      <c r="B252" s="89">
        <v>0.78</v>
      </c>
      <c r="C252" s="301">
        <v>0.54</v>
      </c>
      <c r="D252" s="301" t="s">
        <v>837</v>
      </c>
      <c r="E252" s="302">
        <v>0.96</v>
      </c>
    </row>
    <row r="253" spans="1:31" x14ac:dyDescent="0.3">
      <c r="A253" s="28" t="s">
        <v>327</v>
      </c>
      <c r="B253" s="89">
        <v>0.61</v>
      </c>
      <c r="C253" s="301">
        <v>0.46</v>
      </c>
      <c r="D253" s="301" t="s">
        <v>837</v>
      </c>
      <c r="E253" s="302">
        <v>0.95</v>
      </c>
    </row>
    <row r="254" spans="1:31" x14ac:dyDescent="0.3">
      <c r="A254" s="28" t="s">
        <v>328</v>
      </c>
      <c r="B254" s="89">
        <v>1.06</v>
      </c>
      <c r="C254" s="301">
        <v>0.3</v>
      </c>
      <c r="D254" s="301" t="s">
        <v>837</v>
      </c>
      <c r="E254" s="302">
        <v>0.84</v>
      </c>
      <c r="L254" s="293"/>
      <c r="M254" s="293"/>
      <c r="N254" s="293"/>
    </row>
    <row r="255" spans="1:31" x14ac:dyDescent="0.3">
      <c r="A255" s="28" t="s">
        <v>329</v>
      </c>
      <c r="B255" s="89">
        <v>0.64</v>
      </c>
      <c r="C255" s="301">
        <v>0.56999999999999995</v>
      </c>
      <c r="D255" s="301" t="s">
        <v>837</v>
      </c>
      <c r="E255" s="302">
        <v>0.96</v>
      </c>
    </row>
    <row r="256" spans="1:31" ht="51" customHeight="1" x14ac:dyDescent="0.3">
      <c r="A256" s="382" t="s">
        <v>832</v>
      </c>
      <c r="B256" s="383"/>
      <c r="C256" s="383"/>
      <c r="D256" s="383"/>
      <c r="E256" s="383"/>
    </row>
    <row r="257" spans="1:31" s="293" customFormat="1" x14ac:dyDescent="0.25">
      <c r="A257" s="28" t="s">
        <v>839</v>
      </c>
      <c r="B257" s="28"/>
      <c r="C257" s="28"/>
      <c r="D257" s="28"/>
      <c r="E257" s="28"/>
      <c r="L257" s="28"/>
      <c r="M257" s="28"/>
      <c r="N257" s="28"/>
      <c r="AE257" s="294"/>
    </row>
    <row r="258" spans="1:31" s="293" customFormat="1" x14ac:dyDescent="0.25">
      <c r="A258" s="28"/>
      <c r="B258" s="28"/>
      <c r="C258" s="28"/>
      <c r="D258" s="28"/>
      <c r="E258" s="28"/>
      <c r="L258" s="28"/>
      <c r="M258" s="28"/>
      <c r="N258" s="28"/>
      <c r="AE258" s="294"/>
    </row>
    <row r="260" spans="1:31" x14ac:dyDescent="0.3">
      <c r="A260" s="79" t="s">
        <v>713</v>
      </c>
      <c r="B260" s="81"/>
      <c r="C260" s="81"/>
      <c r="D260" s="81"/>
      <c r="E260" s="81"/>
    </row>
    <row r="261" spans="1:31" x14ac:dyDescent="0.3">
      <c r="A261" s="299"/>
      <c r="B261" s="386" t="s">
        <v>330</v>
      </c>
      <c r="C261" s="387"/>
      <c r="D261" s="387"/>
      <c r="E261" s="388"/>
    </row>
    <row r="262" spans="1:31" x14ac:dyDescent="0.3">
      <c r="A262" s="73" t="s">
        <v>324</v>
      </c>
      <c r="B262" s="86" t="s">
        <v>152</v>
      </c>
      <c r="C262" s="87" t="s">
        <v>153</v>
      </c>
      <c r="D262" s="87" t="s">
        <v>223</v>
      </c>
      <c r="E262" s="300" t="s">
        <v>154</v>
      </c>
    </row>
    <row r="263" spans="1:31" x14ac:dyDescent="0.3">
      <c r="A263" s="28" t="s">
        <v>325</v>
      </c>
      <c r="B263" s="89">
        <v>0.77</v>
      </c>
      <c r="C263" s="301">
        <v>0.64</v>
      </c>
      <c r="D263" s="301" t="s">
        <v>837</v>
      </c>
      <c r="E263" s="302" t="s">
        <v>836</v>
      </c>
    </row>
    <row r="264" spans="1:31" x14ac:dyDescent="0.3">
      <c r="A264" s="28" t="s">
        <v>326</v>
      </c>
      <c r="B264" s="89">
        <v>0.46</v>
      </c>
      <c r="C264" s="301">
        <v>0.5</v>
      </c>
      <c r="D264" s="301" t="s">
        <v>837</v>
      </c>
      <c r="E264" s="302" t="s">
        <v>836</v>
      </c>
    </row>
    <row r="265" spans="1:31" x14ac:dyDescent="0.3">
      <c r="A265" s="28" t="s">
        <v>327</v>
      </c>
      <c r="B265" s="89">
        <v>0.33</v>
      </c>
      <c r="C265" s="301">
        <v>0.44</v>
      </c>
      <c r="D265" s="301" t="s">
        <v>837</v>
      </c>
      <c r="E265" s="302" t="s">
        <v>836</v>
      </c>
    </row>
    <row r="266" spans="1:31" x14ac:dyDescent="0.3">
      <c r="A266" s="28" t="s">
        <v>328</v>
      </c>
      <c r="B266" s="89">
        <v>0.44</v>
      </c>
      <c r="C266" s="301">
        <v>0.47</v>
      </c>
      <c r="D266" s="301" t="s">
        <v>837</v>
      </c>
      <c r="E266" s="302" t="s">
        <v>836</v>
      </c>
      <c r="M266" s="293"/>
      <c r="N266" s="293"/>
    </row>
    <row r="267" spans="1:31" x14ac:dyDescent="0.3">
      <c r="A267" s="28" t="s">
        <v>329</v>
      </c>
      <c r="B267" s="89">
        <v>0.34</v>
      </c>
      <c r="C267" s="301">
        <v>0.49</v>
      </c>
      <c r="D267" s="301" t="s">
        <v>837</v>
      </c>
      <c r="E267" s="302" t="s">
        <v>836</v>
      </c>
    </row>
    <row r="268" spans="1:31" ht="51" customHeight="1" x14ac:dyDescent="0.3">
      <c r="A268" s="382" t="s">
        <v>805</v>
      </c>
      <c r="B268" s="383"/>
      <c r="C268" s="383"/>
      <c r="D268" s="383"/>
      <c r="E268" s="383"/>
    </row>
    <row r="269" spans="1:31" x14ac:dyDescent="0.3">
      <c r="A269" s="28" t="s">
        <v>838</v>
      </c>
    </row>
    <row r="272" spans="1:31" x14ac:dyDescent="0.3">
      <c r="A272" s="79" t="s">
        <v>1340</v>
      </c>
      <c r="B272" s="81"/>
      <c r="C272" s="81"/>
      <c r="D272" s="81"/>
      <c r="E272" s="81"/>
    </row>
    <row r="273" spans="1:5" x14ac:dyDescent="0.3">
      <c r="A273" s="296" t="s">
        <v>1126</v>
      </c>
      <c r="B273" s="297"/>
      <c r="C273" s="297"/>
      <c r="D273" s="297"/>
      <c r="E273" s="297"/>
    </row>
    <row r="274" spans="1:5" ht="35.1" customHeight="1" x14ac:dyDescent="0.3">
      <c r="A274" s="377" t="s">
        <v>1424</v>
      </c>
      <c r="B274" s="378"/>
      <c r="C274" s="378"/>
      <c r="D274" s="378"/>
      <c r="E274" s="378"/>
    </row>
  </sheetData>
  <sheetProtection algorithmName="SHA-512" hashValue="1ZG0lxUwiI8J4LEXa4rZI0wj0CGaHp0+6iSNrkY8yfOl7PELwfzUc2ukyozNHvL1IWqqr/qU/jJTgoiYqgI0rw==" saltValue="nWtVzeWb3LTAieUt26+PIA==" spinCount="100000" sheet="1" objects="1" scenarios="1"/>
  <mergeCells count="39">
    <mergeCell ref="A274:E274"/>
    <mergeCell ref="B261:E261"/>
    <mergeCell ref="B223:E223"/>
    <mergeCell ref="B161:E161"/>
    <mergeCell ref="B117:E117"/>
    <mergeCell ref="B147:E147"/>
    <mergeCell ref="A143:E143"/>
    <mergeCell ref="A128:E128"/>
    <mergeCell ref="B185:E185"/>
    <mergeCell ref="B169:E169"/>
    <mergeCell ref="A181:E181"/>
    <mergeCell ref="A268:E268"/>
    <mergeCell ref="A11:E11"/>
    <mergeCell ref="A217:E217"/>
    <mergeCell ref="A207:E207"/>
    <mergeCell ref="A212:E212"/>
    <mergeCell ref="B97:E97"/>
    <mergeCell ref="A113:E113"/>
    <mergeCell ref="A86:E86"/>
    <mergeCell ref="B90:E90"/>
    <mergeCell ref="A93:E93"/>
    <mergeCell ref="A195:E195"/>
    <mergeCell ref="A61:E61"/>
    <mergeCell ref="A56:E56"/>
    <mergeCell ref="A51:E51"/>
    <mergeCell ref="B72:E72"/>
    <mergeCell ref="A36:E36"/>
    <mergeCell ref="A41:E41"/>
    <mergeCell ref="A16:E16"/>
    <mergeCell ref="A202:E202"/>
    <mergeCell ref="B132:E132"/>
    <mergeCell ref="A165:E165"/>
    <mergeCell ref="A256:E256"/>
    <mergeCell ref="A31:E31"/>
    <mergeCell ref="A157:E157"/>
    <mergeCell ref="A66:E66"/>
    <mergeCell ref="A26:E26"/>
    <mergeCell ref="A21:E21"/>
    <mergeCell ref="A46:E46"/>
  </mergeCells>
  <hyperlinks>
    <hyperlink ref="A46" r:id="rId1" xr:uid="{9D309CE9-9208-45C5-B13F-36959C090288}"/>
    <hyperlink ref="A66" r:id="rId2" xr:uid="{468E097D-E6D9-4F10-962F-6DE0B723CDD5}"/>
    <hyperlink ref="A51" r:id="rId3" xr:uid="{AFB5A3FA-6579-4C38-B274-C4E5C19D4F51}"/>
  </hyperlinks>
  <pageMargins left="0.7" right="0.7" top="0.75" bottom="0.75" header="0.3" footer="0.3"/>
  <pageSetup paperSize="9" orientation="portrait" horizontalDpi="4294967293" verticalDpi="0" r:id="rId4"/>
  <drawing r:id="rId5"/>
  <tableParts count="11">
    <tablePart r:id="rId6"/>
    <tablePart r:id="rId7"/>
    <tablePart r:id="rId8"/>
    <tablePart r:id="rId9"/>
    <tablePart r:id="rId10"/>
    <tablePart r:id="rId11"/>
    <tablePart r:id="rId12"/>
    <tablePart r:id="rId13"/>
    <tablePart r:id="rId14"/>
    <tablePart r:id="rId15"/>
    <tablePart r:id="rId1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58</vt:i4>
      </vt:variant>
    </vt:vector>
  </HeadingPairs>
  <TitlesOfParts>
    <vt:vector size="90" baseType="lpstr">
      <vt:lpstr>Instructions</vt:lpstr>
      <vt:lpstr>Client details</vt:lpstr>
      <vt:lpstr>Profile Summary and Figures</vt:lpstr>
      <vt:lpstr>DASS-21</vt:lpstr>
      <vt:lpstr>DASS</vt:lpstr>
      <vt:lpstr>K10</vt:lpstr>
      <vt:lpstr>GAD-7</vt:lpstr>
      <vt:lpstr>PHQ-9</vt:lpstr>
      <vt:lpstr>BDI-II</vt:lpstr>
      <vt:lpstr>BAI</vt:lpstr>
      <vt:lpstr>DSM-5</vt:lpstr>
      <vt:lpstr>PCL-5</vt:lpstr>
      <vt:lpstr>EDE-Q</vt:lpstr>
      <vt:lpstr>EDE-QS</vt:lpstr>
      <vt:lpstr>AUDIT</vt:lpstr>
      <vt:lpstr>PAQ</vt:lpstr>
      <vt:lpstr>PAQ-S</vt:lpstr>
      <vt:lpstr>PERCI</vt:lpstr>
      <vt:lpstr>PERS</vt:lpstr>
      <vt:lpstr>PERS-S</vt:lpstr>
      <vt:lpstr>EBQ</vt:lpstr>
      <vt:lpstr>ERQ</vt:lpstr>
      <vt:lpstr>PMERQ</vt:lpstr>
      <vt:lpstr>PES</vt:lpstr>
      <vt:lpstr>ASRS</vt:lpstr>
      <vt:lpstr>AQ</vt:lpstr>
      <vt:lpstr>AQ-10</vt:lpstr>
      <vt:lpstr>CATI</vt:lpstr>
      <vt:lpstr>PID-5</vt:lpstr>
      <vt:lpstr>PID-5-BF</vt:lpstr>
      <vt:lpstr>YSQ-R</vt:lpstr>
      <vt:lpstr>Measure norms</vt:lpstr>
      <vt:lpstr>AQ_10_norms</vt:lpstr>
      <vt:lpstr>AQ_10_profile</vt:lpstr>
      <vt:lpstr>AQ_norms</vt:lpstr>
      <vt:lpstr>AQ_profile</vt:lpstr>
      <vt:lpstr>ASRS_norms</vt:lpstr>
      <vt:lpstr>ASRS_profile</vt:lpstr>
      <vt:lpstr>AUDIT_norms</vt:lpstr>
      <vt:lpstr>AUDIT_profile</vt:lpstr>
      <vt:lpstr>BAI_norms</vt:lpstr>
      <vt:lpstr>BAI_profile</vt:lpstr>
      <vt:lpstr>BDI_II_norms</vt:lpstr>
      <vt:lpstr>BDI_II_profile</vt:lpstr>
      <vt:lpstr>CATI_norms</vt:lpstr>
      <vt:lpstr>CATI_profile</vt:lpstr>
      <vt:lpstr>DASS_21_norms</vt:lpstr>
      <vt:lpstr>DASS_21_profile</vt:lpstr>
      <vt:lpstr>DASS_norms</vt:lpstr>
      <vt:lpstr>DASS_profile</vt:lpstr>
      <vt:lpstr>DSM_5_norms</vt:lpstr>
      <vt:lpstr>DSM_5_profile</vt:lpstr>
      <vt:lpstr>EBQ_norms</vt:lpstr>
      <vt:lpstr>EBQ_profile</vt:lpstr>
      <vt:lpstr>EDE_Q_norms</vt:lpstr>
      <vt:lpstr>EDE_Q_profile</vt:lpstr>
      <vt:lpstr>EDE_QS_norms</vt:lpstr>
      <vt:lpstr>EDE_QS_profile</vt:lpstr>
      <vt:lpstr>ERQ_norms</vt:lpstr>
      <vt:lpstr>ERQ_profile</vt:lpstr>
      <vt:lpstr>GAD_7_norms</vt:lpstr>
      <vt:lpstr>GAD_7_profile</vt:lpstr>
      <vt:lpstr>K10_norms</vt:lpstr>
      <vt:lpstr>K10_profile</vt:lpstr>
      <vt:lpstr>Norms_index</vt:lpstr>
      <vt:lpstr>PAQ_norms</vt:lpstr>
      <vt:lpstr>PAQ_profile</vt:lpstr>
      <vt:lpstr>PAQ_S_norms</vt:lpstr>
      <vt:lpstr>PAQ_S_profile</vt:lpstr>
      <vt:lpstr>PCL_5_norms</vt:lpstr>
      <vt:lpstr>PCL_5_profile</vt:lpstr>
      <vt:lpstr>PERCI_norms</vt:lpstr>
      <vt:lpstr>PERCI_profile</vt:lpstr>
      <vt:lpstr>PERS_norms</vt:lpstr>
      <vt:lpstr>PERS_profile</vt:lpstr>
      <vt:lpstr>PERS_S_norms</vt:lpstr>
      <vt:lpstr>PERS_S_profile</vt:lpstr>
      <vt:lpstr>PES_norms</vt:lpstr>
      <vt:lpstr>PES_profile</vt:lpstr>
      <vt:lpstr>PHQ_9_norms</vt:lpstr>
      <vt:lpstr>PHQ_9_profile</vt:lpstr>
      <vt:lpstr>PID_5_BF_norms</vt:lpstr>
      <vt:lpstr>PID_5_BF_profile</vt:lpstr>
      <vt:lpstr>PID_5_norms</vt:lpstr>
      <vt:lpstr>PID_5_profile</vt:lpstr>
      <vt:lpstr>PMERQ_norms</vt:lpstr>
      <vt:lpstr>PMERQ_profile</vt:lpstr>
      <vt:lpstr>Profile_index</vt:lpstr>
      <vt:lpstr>YSQ_R_norms</vt:lpstr>
      <vt:lpstr>YSQ_R_profile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Erin Lloyd</dc:creator>
  <cp:lastModifiedBy>David Preece</cp:lastModifiedBy>
  <dcterms:created xsi:type="dcterms:W3CDTF">2021-03-06T11:43:10Z</dcterms:created>
  <dcterms:modified xsi:type="dcterms:W3CDTF">2023-02-25T08:17:54Z</dcterms:modified>
</cp:coreProperties>
</file>